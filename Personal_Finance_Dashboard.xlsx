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938FF94-ECFC-4C90-9919-0CA5E7002D74}" xr6:coauthVersionLast="47" xr6:coauthVersionMax="47" xr10:uidLastSave="{00000000-0000-0000-0000-000000000000}"/>
  <bookViews>
    <workbookView xWindow="-108" yWindow="-108" windowWidth="23256" windowHeight="12456" activeTab="1" xr2:uid="{D03FB57D-471A-43FA-8437-B77697745EC8}"/>
  </bookViews>
  <sheets>
    <sheet name="Sheet1" sheetId="1" r:id="rId1"/>
    <sheet name="Summary" sheetId="2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2" l="1"/>
  <c r="G26" i="2" s="1"/>
  <c r="F27" i="2"/>
  <c r="G27" i="2" s="1"/>
  <c r="F28" i="2"/>
  <c r="G28" i="2" s="1"/>
  <c r="F29" i="2"/>
  <c r="G29" i="2" s="1"/>
  <c r="F30" i="2"/>
  <c r="G30" i="2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F3" i="2"/>
  <c r="F2" i="2"/>
  <c r="F4" i="2" l="1"/>
  <c r="F5" i="2" s="1"/>
</calcChain>
</file>

<file path=xl/sharedStrings.xml><?xml version="1.0" encoding="utf-8"?>
<sst xmlns="http://schemas.openxmlformats.org/spreadsheetml/2006/main" count="442" uniqueCount="52">
  <si>
    <t>Date</t>
  </si>
  <si>
    <t>Category</t>
  </si>
  <si>
    <t>Type</t>
  </si>
  <si>
    <t>Amount</t>
  </si>
  <si>
    <t>Payment_Mode</t>
  </si>
  <si>
    <t>Notes</t>
  </si>
  <si>
    <t>Salary</t>
  </si>
  <si>
    <t>Income</t>
  </si>
  <si>
    <t>Bank</t>
  </si>
  <si>
    <t>Food</t>
  </si>
  <si>
    <t>Expense</t>
  </si>
  <si>
    <t>UPI</t>
  </si>
  <si>
    <t>Lunch</t>
  </si>
  <si>
    <t>Travel</t>
  </si>
  <si>
    <t>Cash</t>
  </si>
  <si>
    <t>Auto</t>
  </si>
  <si>
    <t>Shopping</t>
  </si>
  <si>
    <t>Card</t>
  </si>
  <si>
    <t>Clothes</t>
  </si>
  <si>
    <t>Bills</t>
  </si>
  <si>
    <t>Electricity</t>
  </si>
  <si>
    <t>Dinner</t>
  </si>
  <si>
    <t>Entertainment</t>
  </si>
  <si>
    <t>Movie</t>
  </si>
  <si>
    <t>Bus</t>
  </si>
  <si>
    <t>Snacks</t>
  </si>
  <si>
    <t>Internet</t>
  </si>
  <si>
    <t>Shoes</t>
  </si>
  <si>
    <t>Cab</t>
  </si>
  <si>
    <t>Games</t>
  </si>
  <si>
    <t>Gas</t>
  </si>
  <si>
    <t>Train</t>
  </si>
  <si>
    <t>Accessories</t>
  </si>
  <si>
    <t>OTT</t>
  </si>
  <si>
    <t>A</t>
  </si>
  <si>
    <t>B</t>
  </si>
  <si>
    <t>Total Income</t>
  </si>
  <si>
    <t>Total Expense</t>
  </si>
  <si>
    <t>Savings</t>
  </si>
  <si>
    <t>Savings %</t>
  </si>
  <si>
    <t>Grand Total</t>
  </si>
  <si>
    <t>Total Expenses</t>
  </si>
  <si>
    <t>Month</t>
  </si>
  <si>
    <t>Jan</t>
  </si>
  <si>
    <t>Feb</t>
  </si>
  <si>
    <t>Mar</t>
  </si>
  <si>
    <t>Apr</t>
  </si>
  <si>
    <t>May</t>
  </si>
  <si>
    <t>Budget</t>
  </si>
  <si>
    <t>Actual</t>
  </si>
  <si>
    <t>Status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</si>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</sst>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[Personal_Finance_Dashboard.xlsx]Summary!PivotTable1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Category-wise Spending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Summary!$C$3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cat>
            <c:strRef>
              <c:f>Summary!$B$4:$B$9</c:f>
              <c:strCache>
                <c:ptCount val="5"/>
                <c:pt idx="0">
                  <c:v>Shopping</c:v>
                </c:pt>
                <c:pt idx="1">
                  <c:v>Bills</c:v>
                </c:pt>
                <c:pt idx="2">
                  <c:v>Food</c:v>
                </c:pt>
                <c:pt idx="3">
                  <c:v>Entertainment</c:v>
                </c:pt>
                <c:pt idx="4">
                  <c:v>Travel</c:v>
                </c:pt>
              </c:strCache>
            </c:strRef>
          </c:cat>
          <c:val>
            <c:numRef>
              <c:f>Summary!$C$4:$C$9</c:f>
              <c:numCache>
                <c:formatCode>General</c:formatCode>
                <c:ptCount val="5"/>
                <c:pt idx="0">
                  <c:v>20650</c:v>
                </c:pt>
                <c:pt idx="1">
                  <c:v>14200</c:v>
                </c:pt>
                <c:pt idx="2">
                  <c:v>9630</c:v>
                </c:pt>
                <c:pt idx="3">
                  <c:v>8980</c:v>
                </c:pt>
                <c:pt idx="4">
                  <c:v>3890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D-47A0-B4BB-E99CECC8A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[Personal_Finance_Dashboard.xlsx]Summary!PivotTable2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Expenses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Summary!$I$3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Summary!$H$4:$H$9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Summary!$I$4:$I$9</c:f>
              <c:numCache>
                <c:formatCode>General</c:formatCode>
                <c:ptCount val="5"/>
                <c:pt idx="0">
                  <c:v>10480</c:v>
                </c:pt>
                <c:pt idx="1">
                  <c:v>10800</c:v>
                </c:pt>
                <c:pt idx="2">
                  <c:v>11440</c:v>
                </c:pt>
                <c:pt idx="3">
                  <c:v>12020</c:v>
                </c:pt>
                <c:pt idx="4">
                  <c:v>12610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4E-4E47-B95D-3ABF9EFEF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666016"/>
        <c:axId val="1294666496"/>
      </c:lineChart>
      <c:catAx>
        <c:axId val="129466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66496"/>
        <c:crosses val="autoZero"/>
        <c:auto val="1"/>
        <c:lblAlgn val="ctr"/>
        <c:lblOffset val="100"/>
        <c:noMultiLvlLbl val="0"/>
      </c:catAx>
      <c:valAx>
        <c:axId val="129466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6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Summary!$E$25</c:f>
              <c:strCache>
                <c:ptCount val="1"/>
                <c:pt idx="0">
                  <c:v>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Summary!$D$26:$D$30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Bills</c:v>
                </c:pt>
                <c:pt idx="4">
                  <c:v>Entertainment</c:v>
                </c:pt>
              </c:strCache>
            </c:strRef>
          </c:cat>
          <c:val>
            <c:numRef>
              <c:f>Summary!$E$26:$E$30</c:f>
              <c:numCache>
                <c:formatCode>General</c:formatCode>
                <c:ptCount val="5"/>
                <c:pt idx="0">
                  <c:v>5000</c:v>
                </c:pt>
                <c:pt idx="1">
                  <c:v>3000</c:v>
                </c:pt>
                <c:pt idx="2">
                  <c:v>4000</c:v>
                </c:pt>
                <c:pt idx="3">
                  <c:v>3500</c:v>
                </c:pt>
                <c:pt idx="4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6-4464-8C30-0334003C8462}"/>
            </c:ext>
          </c:extLst>
        </c:ser>
        <c:ser>
          <c:idx val="1"/>
          <c:order val="1"/>
          <c:tx>
            <c:strRef>
              <c:f>Summary!$F$25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Summary!$D$26:$D$30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Bills</c:v>
                </c:pt>
                <c:pt idx="4">
                  <c:v>Entertainment</c:v>
                </c:pt>
              </c:strCache>
            </c:strRef>
          </c:cat>
          <c:val>
            <c:numRef>
              <c:f>Summary!$F$26:$F$30</c:f>
              <c:numCache>
                <c:formatCode>General</c:formatCode>
                <c:ptCount val="5"/>
                <c:pt idx="0">
                  <c:v>9630</c:v>
                </c:pt>
                <c:pt idx="1">
                  <c:v>3890</c:v>
                </c:pt>
                <c:pt idx="2">
                  <c:v>20650</c:v>
                </c:pt>
                <c:pt idx="3">
                  <c:v>14200</c:v>
                </c:pt>
                <c:pt idx="4">
                  <c:v>8980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6-4464-8C30-0334003C8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5342047"/>
        <c:axId val="1445350687"/>
      </c:barChart>
      <c:catAx>
        <c:axId val="144534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0687"/>
        <c:crosses val="autoZero"/>
        <c:auto val="1"/>
        <c:lblAlgn val="ctr"/>
        <c:lblOffset val="100"/>
        <c:noMultiLvlLbl val="0"/>
      </c:catAx>
      <c:valAx>
        <c:axId val="144535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4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171450</xdr:rowOff>
    </xdr:from>
    <xdr:to>
      <xdr:col>5</xdr:col>
      <xdr:colOff>7620</xdr:colOff>
      <xdr:row>22</xdr:row>
      <xdr:rowOff>7620</xdr:rowOff>
    </xdr:to>
    <xdr:graphicFrame macro="">
      <xdr:nvGraphicFramePr>
        <xdr:cNvPr id="2" name="Category-wise Spending">
          <a:extLst>
            <a:ext uri="{FF2B5EF4-FFF2-40B4-BE49-F238E27FC236}">
              <a16:creationId xmlns:a16="http://schemas.microsoft.com/office/drawing/2014/main" id="{314A0250-FFCF-EF1E-713C-8B0D60DE9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179070</xdr:rowOff>
    </xdr:from>
    <xdr:to>
      <xdr:col>11</xdr:col>
      <xdr:colOff>0</xdr:colOff>
      <xdr:row>22</xdr:row>
      <xdr:rowOff>0</xdr:rowOff>
    </xdr:to>
    <xdr:graphicFrame macro="">
      <xdr:nvGraphicFramePr>
        <xdr:cNvPr id="3" name="Monthly Expenses Trend">
          <a:extLst>
            <a:ext uri="{FF2B5EF4-FFF2-40B4-BE49-F238E27FC236}">
              <a16:creationId xmlns:a16="http://schemas.microsoft.com/office/drawing/2014/main" id="{502F6042-A82D-AFBE-AB2E-C06120ED8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</xdr:colOff>
      <xdr:row>31</xdr:row>
      <xdr:rowOff>175260</xdr:rowOff>
    </xdr:from>
    <xdr:to>
      <xdr:col>7</xdr:col>
      <xdr:colOff>30480</xdr:colOff>
      <xdr:row>43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F49CDC-0334-3816-3AC2-91B3374C4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2</xdr:col>
      <xdr:colOff>190500</xdr:colOff>
      <xdr:row>28</xdr:row>
      <xdr:rowOff>7620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DB3263-C6C7-168D-A6A7-3905C90AB699}"/>
            </a:ext>
          </a:extLst>
        </xdr:cNvPr>
        <xdr:cNvSpPr txBox="1"/>
      </xdr:nvSpPr>
      <xdr:spPr>
        <a:xfrm>
          <a:off x="708660" y="4206240"/>
          <a:ext cx="1051560" cy="922020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Shopping and Bills are major expense drivers</a:t>
          </a:r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7620</xdr:colOff>
      <xdr:row>23</xdr:row>
      <xdr:rowOff>0</xdr:rowOff>
    </xdr:from>
    <xdr:to>
      <xdr:col>9</xdr:col>
      <xdr:colOff>289560</xdr:colOff>
      <xdr:row>27</xdr:row>
      <xdr:rowOff>175260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915804-B2D3-DAD3-59F2-D405D196E562}"/>
            </a:ext>
          </a:extLst>
        </xdr:cNvPr>
        <xdr:cNvSpPr txBox="1"/>
      </xdr:nvSpPr>
      <xdr:spPr>
        <a:xfrm>
          <a:off x="6903720" y="4206240"/>
          <a:ext cx="1173480" cy="906780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Expenses show an increasing trend over months</a:t>
          </a:r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647700</xdr:colOff>
      <xdr:row>44</xdr:row>
      <xdr:rowOff>7620</xdr:rowOff>
    </xdr:from>
    <xdr:to>
      <xdr:col>6</xdr:col>
      <xdr:colOff>198120</xdr:colOff>
      <xdr:row>47</xdr:row>
      <xdr:rowOff>30480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EC1B423-1AE7-E6B1-444B-E36DC29555BE}"/>
            </a:ext>
          </a:extLst>
        </xdr:cNvPr>
        <xdr:cNvSpPr txBox="1"/>
      </xdr:nvSpPr>
      <xdr:spPr>
        <a:xfrm>
          <a:off x="3101340" y="8054340"/>
          <a:ext cx="2179320" cy="571500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All categories exceed budget, indicating poor cost control .</a:t>
          </a:r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bele" refreshedDate="46131.663503240743" createdVersion="8" refreshedVersion="8" minRefreshableVersion="3" recordCount="100" xr:uid="{4EECE04D-4DD2-4A0D-8BD7-BE624299315E}">
  <cacheSource type="worksheet">
    <worksheetSource name="FinanceData"/>
  </cacheSource>
  <cacheFields count="7">
    <cacheField name="Date" numFmtId="14">
      <sharedItems containsSemiMixedTypes="0" containsNonDate="0" containsDate="1" containsString="0" minDate="2026-01-01T00:00:00" maxDate="2026-05-21T00:00:00"/>
    </cacheField>
    <cacheField name="Category" numFmtId="0">
      <sharedItems containsBlank="1" count="7">
        <s v="Salary"/>
        <s v="Food"/>
        <s v="Travel"/>
        <s v="Shopping"/>
        <s v="Bills"/>
        <s v="Entertainment"/>
        <m u="1"/>
      </sharedItems>
    </cacheField>
    <cacheField name="Type" numFmtId="0">
      <sharedItems containsBlank="1" count="3">
        <s v="Income"/>
        <s v="Expense"/>
        <m u="1"/>
      </sharedItems>
    </cacheField>
    <cacheField name="Amount" numFmtId="2">
      <sharedItems containsSemiMixedTypes="0" containsString="0" containsNumber="1" containsInteger="1" minValue="120" maxValue="33000"/>
    </cacheField>
    <cacheField name="Payment_Mode" numFmtId="0">
      <sharedItems/>
    </cacheField>
    <cacheField name="Notes" numFmtId="0">
      <sharedItems/>
    </cacheField>
    <cacheField name="Month" numFmtId="0">
      <sharedItems count="5">
        <s v="Jan"/>
        <s v="Feb"/>
        <s v="Mar"/>
        <s v="Apr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6-01-01T00:00:00"/>
    <x v="0"/>
    <x v="0"/>
    <n v="30000"/>
    <s v="Bank"/>
    <s v="Salary"/>
    <x v="0"/>
  </r>
  <r>
    <d v="2026-01-02T00:00:00"/>
    <x v="1"/>
    <x v="1"/>
    <n v="250"/>
    <s v="UPI"/>
    <s v="Lunch"/>
    <x v="0"/>
  </r>
  <r>
    <d v="2026-01-02T00:00:00"/>
    <x v="2"/>
    <x v="1"/>
    <n v="120"/>
    <s v="Cash"/>
    <s v="Auto"/>
    <x v="0"/>
  </r>
  <r>
    <d v="2026-01-03T00:00:00"/>
    <x v="3"/>
    <x v="1"/>
    <n v="1500"/>
    <s v="Card"/>
    <s v="Clothes"/>
    <x v="0"/>
  </r>
  <r>
    <d v="2026-01-04T00:00:00"/>
    <x v="4"/>
    <x v="1"/>
    <n v="800"/>
    <s v="UPI"/>
    <s v="Electricity"/>
    <x v="0"/>
  </r>
  <r>
    <d v="2026-01-05T00:00:00"/>
    <x v="1"/>
    <x v="1"/>
    <n v="300"/>
    <s v="UPI"/>
    <s v="Dinner"/>
    <x v="0"/>
  </r>
  <r>
    <d v="2026-01-06T00:00:00"/>
    <x v="5"/>
    <x v="1"/>
    <n v="600"/>
    <s v="Card"/>
    <s v="Movie"/>
    <x v="0"/>
  </r>
  <r>
    <d v="2026-01-07T00:00:00"/>
    <x v="2"/>
    <x v="1"/>
    <n v="200"/>
    <s v="Cash"/>
    <s v="Bus"/>
    <x v="0"/>
  </r>
  <r>
    <d v="2026-01-08T00:00:00"/>
    <x v="1"/>
    <x v="1"/>
    <n v="220"/>
    <s v="UPI"/>
    <s v="Snacks"/>
    <x v="0"/>
  </r>
  <r>
    <d v="2026-01-09T00:00:00"/>
    <x v="4"/>
    <x v="1"/>
    <n v="1200"/>
    <s v="UPI"/>
    <s v="Internet"/>
    <x v="0"/>
  </r>
  <r>
    <d v="2026-01-10T00:00:00"/>
    <x v="3"/>
    <x v="1"/>
    <n v="900"/>
    <s v="Card"/>
    <s v="Shoes"/>
    <x v="0"/>
  </r>
  <r>
    <d v="2026-01-11T00:00:00"/>
    <x v="1"/>
    <x v="1"/>
    <n v="350"/>
    <s v="UPI"/>
    <s v="Lunch"/>
    <x v="0"/>
  </r>
  <r>
    <d v="2026-01-12T00:00:00"/>
    <x v="2"/>
    <x v="1"/>
    <n v="150"/>
    <s v="Cash"/>
    <s v="Cab"/>
    <x v="0"/>
  </r>
  <r>
    <d v="2026-01-13T00:00:00"/>
    <x v="5"/>
    <x v="1"/>
    <n v="700"/>
    <s v="Card"/>
    <s v="Games"/>
    <x v="0"/>
  </r>
  <r>
    <d v="2026-01-14T00:00:00"/>
    <x v="1"/>
    <x v="1"/>
    <n v="400"/>
    <s v="UPI"/>
    <s v="Dinner"/>
    <x v="0"/>
  </r>
  <r>
    <d v="2026-01-15T00:00:00"/>
    <x v="4"/>
    <x v="1"/>
    <n v="650"/>
    <s v="UPI"/>
    <s v="Gas"/>
    <x v="0"/>
  </r>
  <r>
    <d v="2026-01-16T00:00:00"/>
    <x v="2"/>
    <x v="1"/>
    <n v="220"/>
    <s v="Cash"/>
    <s v="Train"/>
    <x v="0"/>
  </r>
  <r>
    <d v="2026-01-17T00:00:00"/>
    <x v="3"/>
    <x v="1"/>
    <n v="1300"/>
    <s v="Card"/>
    <s v="Accessories"/>
    <x v="0"/>
  </r>
  <r>
    <d v="2026-01-18T00:00:00"/>
    <x v="1"/>
    <x v="1"/>
    <n v="270"/>
    <s v="UPI"/>
    <s v="Lunch"/>
    <x v="0"/>
  </r>
  <r>
    <d v="2026-01-19T00:00:00"/>
    <x v="5"/>
    <x v="1"/>
    <n v="350"/>
    <s v="UPI"/>
    <s v="OTT"/>
    <x v="0"/>
  </r>
  <r>
    <d v="2026-02-01T00:00:00"/>
    <x v="0"/>
    <x v="0"/>
    <n v="30000"/>
    <s v="Bank"/>
    <s v="Salary"/>
    <x v="1"/>
  </r>
  <r>
    <d v="2026-02-02T00:00:00"/>
    <x v="1"/>
    <x v="1"/>
    <n v="260"/>
    <s v="UPI"/>
    <s v="Lunch"/>
    <x v="1"/>
  </r>
  <r>
    <d v="2026-02-03T00:00:00"/>
    <x v="2"/>
    <x v="1"/>
    <n v="130"/>
    <s v="Cash"/>
    <s v="Auto"/>
    <x v="1"/>
  </r>
  <r>
    <d v="2026-02-04T00:00:00"/>
    <x v="3"/>
    <x v="1"/>
    <n v="1400"/>
    <s v="Card"/>
    <s v="Clothes"/>
    <x v="1"/>
  </r>
  <r>
    <d v="2026-02-05T00:00:00"/>
    <x v="4"/>
    <x v="1"/>
    <n v="900"/>
    <s v="UPI"/>
    <s v="Electricity"/>
    <x v="1"/>
  </r>
  <r>
    <d v="2026-02-06T00:00:00"/>
    <x v="1"/>
    <x v="1"/>
    <n v="320"/>
    <s v="UPI"/>
    <s v="Dinner"/>
    <x v="1"/>
  </r>
  <r>
    <d v="2026-02-07T00:00:00"/>
    <x v="5"/>
    <x v="1"/>
    <n v="650"/>
    <s v="Card"/>
    <s v="Movie"/>
    <x v="1"/>
  </r>
  <r>
    <d v="2026-02-08T00:00:00"/>
    <x v="2"/>
    <x v="1"/>
    <n v="210"/>
    <s v="Cash"/>
    <s v="Bus"/>
    <x v="1"/>
  </r>
  <r>
    <d v="2026-02-09T00:00:00"/>
    <x v="1"/>
    <x v="1"/>
    <n v="230"/>
    <s v="UPI"/>
    <s v="Snacks"/>
    <x v="1"/>
  </r>
  <r>
    <d v="2026-02-10T00:00:00"/>
    <x v="4"/>
    <x v="1"/>
    <n v="1100"/>
    <s v="UPI"/>
    <s v="Internet"/>
    <x v="1"/>
  </r>
  <r>
    <d v="2026-02-11T00:00:00"/>
    <x v="3"/>
    <x v="1"/>
    <n v="1000"/>
    <s v="Card"/>
    <s v="Shoes"/>
    <x v="1"/>
  </r>
  <r>
    <d v="2026-02-12T00:00:00"/>
    <x v="1"/>
    <x v="1"/>
    <n v="360"/>
    <s v="UPI"/>
    <s v="Lunch"/>
    <x v="1"/>
  </r>
  <r>
    <d v="2026-02-13T00:00:00"/>
    <x v="2"/>
    <x v="1"/>
    <n v="160"/>
    <s v="Cash"/>
    <s v="Cab"/>
    <x v="1"/>
  </r>
  <r>
    <d v="2026-02-14T00:00:00"/>
    <x v="5"/>
    <x v="1"/>
    <n v="720"/>
    <s v="Card"/>
    <s v="Games"/>
    <x v="1"/>
  </r>
  <r>
    <d v="2026-02-15T00:00:00"/>
    <x v="1"/>
    <x v="1"/>
    <n v="420"/>
    <s v="UPI"/>
    <s v="Dinner"/>
    <x v="1"/>
  </r>
  <r>
    <d v="2026-02-16T00:00:00"/>
    <x v="4"/>
    <x v="1"/>
    <n v="700"/>
    <s v="UPI"/>
    <s v="Gas"/>
    <x v="1"/>
  </r>
  <r>
    <d v="2026-02-17T00:00:00"/>
    <x v="2"/>
    <x v="1"/>
    <n v="240"/>
    <s v="Cash"/>
    <s v="Train"/>
    <x v="1"/>
  </r>
  <r>
    <d v="2026-02-18T00:00:00"/>
    <x v="3"/>
    <x v="1"/>
    <n v="1350"/>
    <s v="Card"/>
    <s v="Accessories"/>
    <x v="1"/>
  </r>
  <r>
    <d v="2026-02-19T00:00:00"/>
    <x v="1"/>
    <x v="1"/>
    <n v="280"/>
    <s v="UPI"/>
    <s v="Lunch"/>
    <x v="1"/>
  </r>
  <r>
    <d v="2026-02-20T00:00:00"/>
    <x v="5"/>
    <x v="1"/>
    <n v="370"/>
    <s v="UPI"/>
    <s v="OTT"/>
    <x v="1"/>
  </r>
  <r>
    <d v="2026-03-01T00:00:00"/>
    <x v="0"/>
    <x v="0"/>
    <n v="32000"/>
    <s v="Bank"/>
    <s v="Salary"/>
    <x v="2"/>
  </r>
  <r>
    <d v="2026-03-02T00:00:00"/>
    <x v="1"/>
    <x v="1"/>
    <n v="270"/>
    <s v="UPI"/>
    <s v="Lunch"/>
    <x v="2"/>
  </r>
  <r>
    <d v="2026-03-03T00:00:00"/>
    <x v="2"/>
    <x v="1"/>
    <n v="140"/>
    <s v="Cash"/>
    <s v="Auto"/>
    <x v="2"/>
  </r>
  <r>
    <d v="2026-03-04T00:00:00"/>
    <x v="3"/>
    <x v="1"/>
    <n v="1600"/>
    <s v="Card"/>
    <s v="Clothes"/>
    <x v="2"/>
  </r>
  <r>
    <d v="2026-03-05T00:00:00"/>
    <x v="4"/>
    <x v="1"/>
    <n v="950"/>
    <s v="UPI"/>
    <s v="Electricity"/>
    <x v="2"/>
  </r>
  <r>
    <d v="2026-03-06T00:00:00"/>
    <x v="1"/>
    <x v="1"/>
    <n v="330"/>
    <s v="UPI"/>
    <s v="Dinner"/>
    <x v="2"/>
  </r>
  <r>
    <d v="2026-03-07T00:00:00"/>
    <x v="5"/>
    <x v="1"/>
    <n v="680"/>
    <s v="Card"/>
    <s v="Movie"/>
    <x v="2"/>
  </r>
  <r>
    <d v="2026-03-08T00:00:00"/>
    <x v="2"/>
    <x v="1"/>
    <n v="220"/>
    <s v="Cash"/>
    <s v="Bus"/>
    <x v="2"/>
  </r>
  <r>
    <d v="2026-03-09T00:00:00"/>
    <x v="1"/>
    <x v="1"/>
    <n v="240"/>
    <s v="UPI"/>
    <s v="Snacks"/>
    <x v="2"/>
  </r>
  <r>
    <d v="2026-03-10T00:00:00"/>
    <x v="4"/>
    <x v="1"/>
    <n v="1150"/>
    <s v="UPI"/>
    <s v="Internet"/>
    <x v="2"/>
  </r>
  <r>
    <d v="2026-03-11T00:00:00"/>
    <x v="3"/>
    <x v="1"/>
    <n v="1100"/>
    <s v="Card"/>
    <s v="Shoes"/>
    <x v="2"/>
  </r>
  <r>
    <d v="2026-03-12T00:00:00"/>
    <x v="1"/>
    <x v="1"/>
    <n v="370"/>
    <s v="UPI"/>
    <s v="Lunch"/>
    <x v="2"/>
  </r>
  <r>
    <d v="2026-03-13T00:00:00"/>
    <x v="2"/>
    <x v="1"/>
    <n v="170"/>
    <s v="Cash"/>
    <s v="Cab"/>
    <x v="2"/>
  </r>
  <r>
    <d v="2026-03-14T00:00:00"/>
    <x v="5"/>
    <x v="1"/>
    <n v="740"/>
    <s v="Card"/>
    <s v="Games"/>
    <x v="2"/>
  </r>
  <r>
    <d v="2026-03-15T00:00:00"/>
    <x v="1"/>
    <x v="1"/>
    <n v="430"/>
    <s v="UPI"/>
    <s v="Dinner"/>
    <x v="2"/>
  </r>
  <r>
    <d v="2026-03-16T00:00:00"/>
    <x v="4"/>
    <x v="1"/>
    <n v="720"/>
    <s v="UPI"/>
    <s v="Gas"/>
    <x v="2"/>
  </r>
  <r>
    <d v="2026-03-17T00:00:00"/>
    <x v="2"/>
    <x v="1"/>
    <n v="250"/>
    <s v="Cash"/>
    <s v="Train"/>
    <x v="2"/>
  </r>
  <r>
    <d v="2026-03-18T00:00:00"/>
    <x v="3"/>
    <x v="1"/>
    <n v="1400"/>
    <s v="Card"/>
    <s v="Accessories"/>
    <x v="2"/>
  </r>
  <r>
    <d v="2026-03-19T00:00:00"/>
    <x v="1"/>
    <x v="1"/>
    <n v="290"/>
    <s v="UPI"/>
    <s v="Lunch"/>
    <x v="2"/>
  </r>
  <r>
    <d v="2026-03-20T00:00:00"/>
    <x v="5"/>
    <x v="1"/>
    <n v="390"/>
    <s v="UPI"/>
    <s v="OTT"/>
    <x v="2"/>
  </r>
  <r>
    <d v="2026-04-01T00:00:00"/>
    <x v="0"/>
    <x v="0"/>
    <n v="32000"/>
    <s v="Bank"/>
    <s v="Salary"/>
    <x v="3"/>
  </r>
  <r>
    <d v="2026-04-02T00:00:00"/>
    <x v="1"/>
    <x v="1"/>
    <n v="280"/>
    <s v="UPI"/>
    <s v="Lunch"/>
    <x v="3"/>
  </r>
  <r>
    <d v="2026-04-03T00:00:00"/>
    <x v="2"/>
    <x v="1"/>
    <n v="150"/>
    <s v="Cash"/>
    <s v="Auto"/>
    <x v="3"/>
  </r>
  <r>
    <d v="2026-04-04T00:00:00"/>
    <x v="3"/>
    <x v="1"/>
    <n v="1700"/>
    <s v="Card"/>
    <s v="Clothes"/>
    <x v="3"/>
  </r>
  <r>
    <d v="2026-04-05T00:00:00"/>
    <x v="4"/>
    <x v="1"/>
    <n v="1000"/>
    <s v="UPI"/>
    <s v="Electricity"/>
    <x v="3"/>
  </r>
  <r>
    <d v="2026-04-06T00:00:00"/>
    <x v="1"/>
    <x v="1"/>
    <n v="340"/>
    <s v="UPI"/>
    <s v="Dinner"/>
    <x v="3"/>
  </r>
  <r>
    <d v="2026-04-07T00:00:00"/>
    <x v="5"/>
    <x v="1"/>
    <n v="700"/>
    <s v="Card"/>
    <s v="Movie"/>
    <x v="3"/>
  </r>
  <r>
    <d v="2026-04-08T00:00:00"/>
    <x v="2"/>
    <x v="1"/>
    <n v="230"/>
    <s v="Cash"/>
    <s v="Bus"/>
    <x v="3"/>
  </r>
  <r>
    <d v="2026-04-09T00:00:00"/>
    <x v="1"/>
    <x v="1"/>
    <n v="250"/>
    <s v="UPI"/>
    <s v="Snacks"/>
    <x v="3"/>
  </r>
  <r>
    <d v="2026-04-10T00:00:00"/>
    <x v="4"/>
    <x v="1"/>
    <n v="1200"/>
    <s v="UPI"/>
    <s v="Internet"/>
    <x v="3"/>
  </r>
  <r>
    <d v="2026-04-11T00:00:00"/>
    <x v="3"/>
    <x v="1"/>
    <n v="1200"/>
    <s v="Card"/>
    <s v="Shoes"/>
    <x v="3"/>
  </r>
  <r>
    <d v="2026-04-12T00:00:00"/>
    <x v="1"/>
    <x v="1"/>
    <n v="380"/>
    <s v="UPI"/>
    <s v="Lunch"/>
    <x v="3"/>
  </r>
  <r>
    <d v="2026-04-13T00:00:00"/>
    <x v="2"/>
    <x v="1"/>
    <n v="180"/>
    <s v="Cash"/>
    <s v="Cab"/>
    <x v="3"/>
  </r>
  <r>
    <d v="2026-04-14T00:00:00"/>
    <x v="5"/>
    <x v="1"/>
    <n v="760"/>
    <s v="Card"/>
    <s v="Games"/>
    <x v="3"/>
  </r>
  <r>
    <d v="2026-04-15T00:00:00"/>
    <x v="1"/>
    <x v="1"/>
    <n v="440"/>
    <s v="UPI"/>
    <s v="Dinner"/>
    <x v="3"/>
  </r>
  <r>
    <d v="2026-04-16T00:00:00"/>
    <x v="4"/>
    <x v="1"/>
    <n v="750"/>
    <s v="UPI"/>
    <s v="Gas"/>
    <x v="3"/>
  </r>
  <r>
    <d v="2026-04-17T00:00:00"/>
    <x v="2"/>
    <x v="1"/>
    <n v="260"/>
    <s v="Cash"/>
    <s v="Train"/>
    <x v="3"/>
  </r>
  <r>
    <d v="2026-04-18T00:00:00"/>
    <x v="3"/>
    <x v="1"/>
    <n v="1500"/>
    <s v="Card"/>
    <s v="Accessories"/>
    <x v="3"/>
  </r>
  <r>
    <d v="2026-04-19T00:00:00"/>
    <x v="1"/>
    <x v="1"/>
    <n v="300"/>
    <s v="UPI"/>
    <s v="Lunch"/>
    <x v="3"/>
  </r>
  <r>
    <d v="2026-04-20T00:00:00"/>
    <x v="5"/>
    <x v="1"/>
    <n v="400"/>
    <s v="UPI"/>
    <s v="OTT"/>
    <x v="3"/>
  </r>
  <r>
    <d v="2026-05-01T00:00:00"/>
    <x v="0"/>
    <x v="0"/>
    <n v="33000"/>
    <s v="Bank"/>
    <s v="Salary"/>
    <x v="4"/>
  </r>
  <r>
    <d v="2026-05-02T00:00:00"/>
    <x v="1"/>
    <x v="1"/>
    <n v="290"/>
    <s v="UPI"/>
    <s v="Lunch"/>
    <x v="4"/>
  </r>
  <r>
    <d v="2026-05-03T00:00:00"/>
    <x v="2"/>
    <x v="1"/>
    <n v="160"/>
    <s v="Cash"/>
    <s v="Auto"/>
    <x v="4"/>
  </r>
  <r>
    <d v="2026-05-04T00:00:00"/>
    <x v="3"/>
    <x v="1"/>
    <n v="1800"/>
    <s v="Card"/>
    <s v="Clothes"/>
    <x v="4"/>
  </r>
  <r>
    <d v="2026-05-05T00:00:00"/>
    <x v="4"/>
    <x v="1"/>
    <n v="1050"/>
    <s v="UPI"/>
    <s v="Electricity"/>
    <x v="4"/>
  </r>
  <r>
    <d v="2026-05-06T00:00:00"/>
    <x v="1"/>
    <x v="1"/>
    <n v="350"/>
    <s v="UPI"/>
    <s v="Dinner"/>
    <x v="4"/>
  </r>
  <r>
    <d v="2026-05-07T00:00:00"/>
    <x v="5"/>
    <x v="1"/>
    <n v="720"/>
    <s v="Card"/>
    <s v="Movie"/>
    <x v="4"/>
  </r>
  <r>
    <d v="2026-05-08T00:00:00"/>
    <x v="2"/>
    <x v="1"/>
    <n v="240"/>
    <s v="Cash"/>
    <s v="Bus"/>
    <x v="4"/>
  </r>
  <r>
    <d v="2026-05-09T00:00:00"/>
    <x v="1"/>
    <x v="1"/>
    <n v="260"/>
    <s v="UPI"/>
    <s v="Snacks"/>
    <x v="4"/>
  </r>
  <r>
    <d v="2026-05-10T00:00:00"/>
    <x v="4"/>
    <x v="1"/>
    <n v="1250"/>
    <s v="UPI"/>
    <s v="Internet"/>
    <x v="4"/>
  </r>
  <r>
    <d v="2026-05-11T00:00:00"/>
    <x v="3"/>
    <x v="1"/>
    <n v="1300"/>
    <s v="Card"/>
    <s v="Shoes"/>
    <x v="4"/>
  </r>
  <r>
    <d v="2026-05-12T00:00:00"/>
    <x v="1"/>
    <x v="1"/>
    <n v="390"/>
    <s v="UPI"/>
    <s v="Lunch"/>
    <x v="4"/>
  </r>
  <r>
    <d v="2026-05-13T00:00:00"/>
    <x v="2"/>
    <x v="1"/>
    <n v="190"/>
    <s v="Cash"/>
    <s v="Cab"/>
    <x v="4"/>
  </r>
  <r>
    <d v="2026-05-14T00:00:00"/>
    <x v="5"/>
    <x v="1"/>
    <n v="780"/>
    <s v="Card"/>
    <s v="Games"/>
    <x v="4"/>
  </r>
  <r>
    <d v="2026-05-15T00:00:00"/>
    <x v="1"/>
    <x v="1"/>
    <n v="450"/>
    <s v="UPI"/>
    <s v="Dinner"/>
    <x v="4"/>
  </r>
  <r>
    <d v="2026-05-16T00:00:00"/>
    <x v="4"/>
    <x v="1"/>
    <n v="780"/>
    <s v="UPI"/>
    <s v="Gas"/>
    <x v="4"/>
  </r>
  <r>
    <d v="2026-05-17T00:00:00"/>
    <x v="2"/>
    <x v="1"/>
    <n v="270"/>
    <s v="Cash"/>
    <s v="Train"/>
    <x v="4"/>
  </r>
  <r>
    <d v="2026-05-18T00:00:00"/>
    <x v="3"/>
    <x v="1"/>
    <n v="1600"/>
    <s v="Card"/>
    <s v="Accessories"/>
    <x v="4"/>
  </r>
  <r>
    <d v="2026-05-19T00:00:00"/>
    <x v="1"/>
    <x v="1"/>
    <n v="310"/>
    <s v="UPI"/>
    <s v="Lunch"/>
    <x v="4"/>
  </r>
  <r>
    <d v="2026-05-20T00:00:00"/>
    <x v="5"/>
    <x v="1"/>
    <n v="420"/>
    <s v="UPI"/>
    <s v="OTT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43962-FDF8-48B6-8E00-07DF805244F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Months">
  <location ref="H3:I9" firstHeaderRow="1" firstDataRow="1" firstDataCol="1" rowPageCount="1" colPageCount="1"/>
  <pivotFields count="7">
    <pivotField showAll="0"/>
    <pivotField showAll="0"/>
    <pivotField axis="axisPage" showAll="0">
      <items count="4">
        <item x="1"/>
        <item x="0"/>
        <item m="1" x="2"/>
        <item t="default"/>
      </items>
    </pivotField>
    <pivotField dataField="1" showAll="0"/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item="0" hier="-1"/>
  </pageFields>
  <dataFields count="1">
    <dataField name="Total Expenses" fld="3" baseField="6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4E5C8-15A9-4AA7-A347-7B86032F0E0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ategory">
  <location ref="B3:C9" firstHeaderRow="1" firstDataRow="1" firstDataCol="1" rowPageCount="1" colPageCount="1"/>
  <pivotFields count="7">
    <pivotField showAll="0"/>
    <pivotField axis="axisRow" showAll="0" sortType="descending">
      <items count="8">
        <item x="4"/>
        <item x="5"/>
        <item x="1"/>
        <item x="0"/>
        <item x="3"/>
        <item x="2"/>
        <item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4">
        <item x="1"/>
        <item h="1" x="0"/>
        <item h="1" m="1" x="2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6">
    <i>
      <x v="4"/>
    </i>
    <i>
      <x/>
    </i>
    <i>
      <x v="2"/>
    </i>
    <i>
      <x v="1"/>
    </i>
    <i>
      <x v="5"/>
    </i>
    <i t="grand">
      <x/>
    </i>
  </rowItems>
  <colItems count="1">
    <i/>
  </colItems>
  <pageFields count="1">
    <pageField fld="2" hier="-1"/>
  </pageFields>
  <dataFields count="1">
    <dataField name="Total Expenses" fld="3" baseField="1" baseItem="4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696A52-8A64-4FD1-B316-136398700A3E}" name="FinanceData" displayName="FinanceData" ref="A1:G101" totalsRowShown="0">
  <autoFilter ref="A1:G101" xr:uid="{55696A52-8A64-4FD1-B316-136398700A3E}"/>
  <tableColumns count="7">
    <tableColumn id="1" xr3:uid="{CEE6C2D6-C312-4A42-928D-E6A00DC1D930}" name="Date" dataDxfId="4"/>
    <tableColumn id="2" xr3:uid="{A33966C3-8591-4BBA-B525-57B989F7F101}" name="Category"/>
    <tableColumn id="3" xr3:uid="{7105BCB2-F027-47BD-B1F2-919490A940CF}" name="Type"/>
    <tableColumn id="4" xr3:uid="{93AD1E11-EE8B-4275-9E0E-145C3F6D1A69}" name="Amount" dataDxfId="3"/>
    <tableColumn id="5" xr3:uid="{A9AAA769-EC3F-473E-B3FF-AD18E9BAEBCB}" name="Payment_Mode"/>
    <tableColumn id="6" xr3:uid="{105BB129-9FAA-4966-B44D-BD85E55ED955}" name="Notes"/>
    <tableColumn id="7" xr3:uid="{48D868F2-F7DE-4BA9-9DBD-C6D818FCA815}" name="Month" dataDxfId="2">
      <calculatedColumnFormula>TEXT(FinanceData[[#This Row],[Date]],"MMM")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BAEFAD-36B3-4D1C-A616-59191F279B32}" name="Table5" displayName="Table5" ref="D25:G30" totalsRowShown="0">
  <autoFilter ref="D25:G30" xr:uid="{33BAEFAD-36B3-4D1C-A616-59191F279B32}"/>
  <tableColumns count="4">
    <tableColumn id="1" xr3:uid="{E3B7F25B-B4B5-4209-99F6-D585A9EE53EC}" name="Category"/>
    <tableColumn id="2" xr3:uid="{FC50AE58-4637-4A81-BE4E-606C013F3C4D}" name="Budget"/>
    <tableColumn id="3" xr3:uid="{8100EB94-1751-40AC-9054-EB03412C355F}" name="Actual" dataDxfId="1">
      <calculatedColumnFormula>SUMIFS(FinanceData[Amount], FinanceData[Category], D26, FinanceData[Type], "Expense")</calculatedColumnFormula>
    </tableColumn>
    <tableColumn id="4" xr3:uid="{97173054-2FB0-4A2B-8D2E-3A897A608039}" name="Status" dataDxfId="0">
      <calculatedColumnFormula>IF(F26 &gt; E26, "⚠ Over Budget", "OK")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96251A-68EA-446D-8120-378C4789B0CE}" name="Table6" displayName="Table6" ref="E1:F5" totalsRowShown="0">
  <autoFilter ref="E1:F5" xr:uid="{6396251A-68EA-446D-8120-378C4789B0CE}"/>
  <tableColumns count="2">
    <tableColumn id="1" xr3:uid="{9C05733F-0C1F-4EA0-9DA7-77E2B8C259C0}" name="A"/>
    <tableColumn id="2" xr3:uid="{08E33278-1B31-470E-BC7A-34888BFC61E8}" name="B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3DF9-CF7F-4335-AC68-0F4FC2AF7EFE}">
  <dimension ref="A1:G101"/>
  <sheetViews>
    <sheetView workbookViewId="0">
      <selection activeCell="A8" sqref="A8"/>
    </sheetView>
  </sheetViews>
  <sheetFormatPr defaultRowHeight="14.4" x14ac:dyDescent="0.3"/>
  <cols>
    <col min="1" max="1" width="11.88671875" style="1" customWidth="1"/>
    <col min="2" max="2" width="14.44140625" customWidth="1"/>
    <col min="4" max="4" width="9.77734375" style="2" customWidth="1"/>
    <col min="5" max="5" width="16.44140625" customWidth="1"/>
    <col min="6" max="6" width="11.33203125" customWidth="1"/>
    <col min="10" max="10" width="9.5546875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42</v>
      </c>
    </row>
    <row r="2" spans="1:7" x14ac:dyDescent="0.3">
      <c r="A2" s="1">
        <v>46023</v>
      </c>
      <c r="B2" t="s">
        <v>6</v>
      </c>
      <c r="C2" t="s">
        <v>7</v>
      </c>
      <c r="D2" s="2">
        <v>30000</v>
      </c>
      <c r="E2" t="s">
        <v>8</v>
      </c>
      <c r="F2" t="s">
        <v>6</v>
      </c>
      <c r="G2" t="str">
        <f>TEXT(FinanceData[[#This Row],[Date]],"MMM")</f>
        <v>Jan</v>
      </c>
    </row>
    <row r="3" spans="1:7" x14ac:dyDescent="0.3">
      <c r="A3" s="1">
        <v>46024</v>
      </c>
      <c r="B3" t="s">
        <v>9</v>
      </c>
      <c r="C3" t="s">
        <v>10</v>
      </c>
      <c r="D3" s="2">
        <v>250</v>
      </c>
      <c r="E3" t="s">
        <v>11</v>
      </c>
      <c r="F3" t="s">
        <v>12</v>
      </c>
      <c r="G3" t="str">
        <f>TEXT(FinanceData[[#This Row],[Date]],"MMM")</f>
        <v>Jan</v>
      </c>
    </row>
    <row r="4" spans="1:7" x14ac:dyDescent="0.3">
      <c r="A4" s="1">
        <v>46024</v>
      </c>
      <c r="B4" t="s">
        <v>13</v>
      </c>
      <c r="C4" t="s">
        <v>10</v>
      </c>
      <c r="D4" s="2">
        <v>120</v>
      </c>
      <c r="E4" t="s">
        <v>14</v>
      </c>
      <c r="F4" t="s">
        <v>15</v>
      </c>
      <c r="G4" t="str">
        <f>TEXT(FinanceData[[#This Row],[Date]],"MMM")</f>
        <v>Jan</v>
      </c>
    </row>
    <row r="5" spans="1:7" x14ac:dyDescent="0.3">
      <c r="A5" s="1">
        <v>46025</v>
      </c>
      <c r="B5" t="s">
        <v>16</v>
      </c>
      <c r="C5" t="s">
        <v>10</v>
      </c>
      <c r="D5" s="2">
        <v>1500</v>
      </c>
      <c r="E5" t="s">
        <v>17</v>
      </c>
      <c r="F5" t="s">
        <v>18</v>
      </c>
      <c r="G5" t="str">
        <f>TEXT(FinanceData[[#This Row],[Date]],"MMM")</f>
        <v>Jan</v>
      </c>
    </row>
    <row r="6" spans="1:7" x14ac:dyDescent="0.3">
      <c r="A6" s="1">
        <v>46026</v>
      </c>
      <c r="B6" t="s">
        <v>19</v>
      </c>
      <c r="C6" t="s">
        <v>10</v>
      </c>
      <c r="D6" s="2">
        <v>800</v>
      </c>
      <c r="E6" t="s">
        <v>11</v>
      </c>
      <c r="F6" t="s">
        <v>20</v>
      </c>
      <c r="G6" t="str">
        <f>TEXT(FinanceData[[#This Row],[Date]],"MMM")</f>
        <v>Jan</v>
      </c>
    </row>
    <row r="7" spans="1:7" x14ac:dyDescent="0.3">
      <c r="A7" s="1">
        <v>46027</v>
      </c>
      <c r="B7" t="s">
        <v>9</v>
      </c>
      <c r="C7" t="s">
        <v>10</v>
      </c>
      <c r="D7" s="2">
        <v>300</v>
      </c>
      <c r="E7" t="s">
        <v>11</v>
      </c>
      <c r="F7" t="s">
        <v>21</v>
      </c>
      <c r="G7" t="str">
        <f>TEXT(FinanceData[[#This Row],[Date]],"MMM")</f>
        <v>Jan</v>
      </c>
    </row>
    <row r="8" spans="1:7" x14ac:dyDescent="0.3">
      <c r="A8" s="1">
        <v>46028</v>
      </c>
      <c r="B8" t="s">
        <v>22</v>
      </c>
      <c r="C8" t="s">
        <v>10</v>
      </c>
      <c r="D8" s="2">
        <v>600</v>
      </c>
      <c r="E8" t="s">
        <v>17</v>
      </c>
      <c r="F8" t="s">
        <v>23</v>
      </c>
      <c r="G8" t="str">
        <f>TEXT(FinanceData[[#This Row],[Date]],"MMM")</f>
        <v>Jan</v>
      </c>
    </row>
    <row r="9" spans="1:7" x14ac:dyDescent="0.3">
      <c r="A9" s="1">
        <v>46029</v>
      </c>
      <c r="B9" t="s">
        <v>13</v>
      </c>
      <c r="C9" t="s">
        <v>10</v>
      </c>
      <c r="D9" s="2">
        <v>200</v>
      </c>
      <c r="E9" t="s">
        <v>14</v>
      </c>
      <c r="F9" t="s">
        <v>24</v>
      </c>
      <c r="G9" t="str">
        <f>TEXT(FinanceData[[#This Row],[Date]],"MMM")</f>
        <v>Jan</v>
      </c>
    </row>
    <row r="10" spans="1:7" x14ac:dyDescent="0.3">
      <c r="A10" s="1">
        <v>46030</v>
      </c>
      <c r="B10" t="s">
        <v>9</v>
      </c>
      <c r="C10" t="s">
        <v>10</v>
      </c>
      <c r="D10" s="2">
        <v>220</v>
      </c>
      <c r="E10" t="s">
        <v>11</v>
      </c>
      <c r="F10" t="s">
        <v>25</v>
      </c>
      <c r="G10" t="str">
        <f>TEXT(FinanceData[[#This Row],[Date]],"MMM")</f>
        <v>Jan</v>
      </c>
    </row>
    <row r="11" spans="1:7" x14ac:dyDescent="0.3">
      <c r="A11" s="1">
        <v>46031</v>
      </c>
      <c r="B11" t="s">
        <v>19</v>
      </c>
      <c r="C11" t="s">
        <v>10</v>
      </c>
      <c r="D11" s="2">
        <v>1200</v>
      </c>
      <c r="E11" t="s">
        <v>11</v>
      </c>
      <c r="F11" t="s">
        <v>26</v>
      </c>
      <c r="G11" t="str">
        <f>TEXT(FinanceData[[#This Row],[Date]],"MMM")</f>
        <v>Jan</v>
      </c>
    </row>
    <row r="12" spans="1:7" x14ac:dyDescent="0.3">
      <c r="A12" s="1">
        <v>46032</v>
      </c>
      <c r="B12" t="s">
        <v>16</v>
      </c>
      <c r="C12" t="s">
        <v>10</v>
      </c>
      <c r="D12" s="2">
        <v>900</v>
      </c>
      <c r="E12" t="s">
        <v>17</v>
      </c>
      <c r="F12" t="s">
        <v>27</v>
      </c>
      <c r="G12" t="str">
        <f>TEXT(FinanceData[[#This Row],[Date]],"MMM")</f>
        <v>Jan</v>
      </c>
    </row>
    <row r="13" spans="1:7" x14ac:dyDescent="0.3">
      <c r="A13" s="1">
        <v>46033</v>
      </c>
      <c r="B13" t="s">
        <v>9</v>
      </c>
      <c r="C13" t="s">
        <v>10</v>
      </c>
      <c r="D13" s="2">
        <v>350</v>
      </c>
      <c r="E13" t="s">
        <v>11</v>
      </c>
      <c r="F13" t="s">
        <v>12</v>
      </c>
      <c r="G13" t="str">
        <f>TEXT(FinanceData[[#This Row],[Date]],"MMM")</f>
        <v>Jan</v>
      </c>
    </row>
    <row r="14" spans="1:7" x14ac:dyDescent="0.3">
      <c r="A14" s="1">
        <v>46034</v>
      </c>
      <c r="B14" t="s">
        <v>13</v>
      </c>
      <c r="C14" t="s">
        <v>10</v>
      </c>
      <c r="D14" s="2">
        <v>150</v>
      </c>
      <c r="E14" t="s">
        <v>14</v>
      </c>
      <c r="F14" t="s">
        <v>28</v>
      </c>
      <c r="G14" t="str">
        <f>TEXT(FinanceData[[#This Row],[Date]],"MMM")</f>
        <v>Jan</v>
      </c>
    </row>
    <row r="15" spans="1:7" x14ac:dyDescent="0.3">
      <c r="A15" s="1">
        <v>46035</v>
      </c>
      <c r="B15" t="s">
        <v>22</v>
      </c>
      <c r="C15" t="s">
        <v>10</v>
      </c>
      <c r="D15" s="2">
        <v>700</v>
      </c>
      <c r="E15" t="s">
        <v>17</v>
      </c>
      <c r="F15" t="s">
        <v>29</v>
      </c>
      <c r="G15" t="str">
        <f>TEXT(FinanceData[[#This Row],[Date]],"MMM")</f>
        <v>Jan</v>
      </c>
    </row>
    <row r="16" spans="1:7" x14ac:dyDescent="0.3">
      <c r="A16" s="1">
        <v>46036</v>
      </c>
      <c r="B16" t="s">
        <v>9</v>
      </c>
      <c r="C16" t="s">
        <v>10</v>
      </c>
      <c r="D16" s="2">
        <v>400</v>
      </c>
      <c r="E16" t="s">
        <v>11</v>
      </c>
      <c r="F16" t="s">
        <v>21</v>
      </c>
      <c r="G16" t="str">
        <f>TEXT(FinanceData[[#This Row],[Date]],"MMM")</f>
        <v>Jan</v>
      </c>
    </row>
    <row r="17" spans="1:7" x14ac:dyDescent="0.3">
      <c r="A17" s="1">
        <v>46037</v>
      </c>
      <c r="B17" t="s">
        <v>19</v>
      </c>
      <c r="C17" t="s">
        <v>10</v>
      </c>
      <c r="D17" s="2">
        <v>650</v>
      </c>
      <c r="E17" t="s">
        <v>11</v>
      </c>
      <c r="F17" t="s">
        <v>30</v>
      </c>
      <c r="G17" t="str">
        <f>TEXT(FinanceData[[#This Row],[Date]],"MMM")</f>
        <v>Jan</v>
      </c>
    </row>
    <row r="18" spans="1:7" x14ac:dyDescent="0.3">
      <c r="A18" s="1">
        <v>46038</v>
      </c>
      <c r="B18" t="s">
        <v>13</v>
      </c>
      <c r="C18" t="s">
        <v>10</v>
      </c>
      <c r="D18" s="2">
        <v>220</v>
      </c>
      <c r="E18" t="s">
        <v>14</v>
      </c>
      <c r="F18" t="s">
        <v>31</v>
      </c>
      <c r="G18" t="str">
        <f>TEXT(FinanceData[[#This Row],[Date]],"MMM")</f>
        <v>Jan</v>
      </c>
    </row>
    <row r="19" spans="1:7" x14ac:dyDescent="0.3">
      <c r="A19" s="1">
        <v>46039</v>
      </c>
      <c r="B19" t="s">
        <v>16</v>
      </c>
      <c r="C19" t="s">
        <v>10</v>
      </c>
      <c r="D19" s="2">
        <v>1300</v>
      </c>
      <c r="E19" t="s">
        <v>17</v>
      </c>
      <c r="F19" t="s">
        <v>32</v>
      </c>
      <c r="G19" t="str">
        <f>TEXT(FinanceData[[#This Row],[Date]],"MMM")</f>
        <v>Jan</v>
      </c>
    </row>
    <row r="20" spans="1:7" x14ac:dyDescent="0.3">
      <c r="A20" s="1">
        <v>46040</v>
      </c>
      <c r="B20" t="s">
        <v>9</v>
      </c>
      <c r="C20" t="s">
        <v>10</v>
      </c>
      <c r="D20" s="2">
        <v>270</v>
      </c>
      <c r="E20" t="s">
        <v>11</v>
      </c>
      <c r="F20" t="s">
        <v>12</v>
      </c>
      <c r="G20" t="str">
        <f>TEXT(FinanceData[[#This Row],[Date]],"MMM")</f>
        <v>Jan</v>
      </c>
    </row>
    <row r="21" spans="1:7" x14ac:dyDescent="0.3">
      <c r="A21" s="1">
        <v>46041</v>
      </c>
      <c r="B21" t="s">
        <v>22</v>
      </c>
      <c r="C21" t="s">
        <v>10</v>
      </c>
      <c r="D21" s="2">
        <v>350</v>
      </c>
      <c r="E21" t="s">
        <v>11</v>
      </c>
      <c r="F21" t="s">
        <v>33</v>
      </c>
      <c r="G21" t="str">
        <f>TEXT(FinanceData[[#This Row],[Date]],"MMM")</f>
        <v>Jan</v>
      </c>
    </row>
    <row r="22" spans="1:7" x14ac:dyDescent="0.3">
      <c r="A22" s="1">
        <v>46054</v>
      </c>
      <c r="B22" t="s">
        <v>6</v>
      </c>
      <c r="C22" t="s">
        <v>7</v>
      </c>
      <c r="D22" s="2">
        <v>30000</v>
      </c>
      <c r="E22" t="s">
        <v>8</v>
      </c>
      <c r="F22" t="s">
        <v>6</v>
      </c>
      <c r="G22" t="str">
        <f>TEXT(FinanceData[[#This Row],[Date]],"MMM")</f>
        <v>Feb</v>
      </c>
    </row>
    <row r="23" spans="1:7" x14ac:dyDescent="0.3">
      <c r="A23" s="1">
        <v>46055</v>
      </c>
      <c r="B23" t="s">
        <v>9</v>
      </c>
      <c r="C23" t="s">
        <v>10</v>
      </c>
      <c r="D23" s="2">
        <v>260</v>
      </c>
      <c r="E23" t="s">
        <v>11</v>
      </c>
      <c r="F23" t="s">
        <v>12</v>
      </c>
      <c r="G23" t="str">
        <f>TEXT(FinanceData[[#This Row],[Date]],"MMM")</f>
        <v>Feb</v>
      </c>
    </row>
    <row r="24" spans="1:7" x14ac:dyDescent="0.3">
      <c r="A24" s="1">
        <v>46056</v>
      </c>
      <c r="B24" t="s">
        <v>13</v>
      </c>
      <c r="C24" t="s">
        <v>10</v>
      </c>
      <c r="D24" s="2">
        <v>130</v>
      </c>
      <c r="E24" t="s">
        <v>14</v>
      </c>
      <c r="F24" t="s">
        <v>15</v>
      </c>
      <c r="G24" t="str">
        <f>TEXT(FinanceData[[#This Row],[Date]],"MMM")</f>
        <v>Feb</v>
      </c>
    </row>
    <row r="25" spans="1:7" x14ac:dyDescent="0.3">
      <c r="A25" s="1">
        <v>46057</v>
      </c>
      <c r="B25" t="s">
        <v>16</v>
      </c>
      <c r="C25" t="s">
        <v>10</v>
      </c>
      <c r="D25" s="2">
        <v>1400</v>
      </c>
      <c r="E25" t="s">
        <v>17</v>
      </c>
      <c r="F25" t="s">
        <v>18</v>
      </c>
      <c r="G25" t="str">
        <f>TEXT(FinanceData[[#This Row],[Date]],"MMM")</f>
        <v>Feb</v>
      </c>
    </row>
    <row r="26" spans="1:7" x14ac:dyDescent="0.3">
      <c r="A26" s="1">
        <v>46058</v>
      </c>
      <c r="B26" t="s">
        <v>19</v>
      </c>
      <c r="C26" t="s">
        <v>10</v>
      </c>
      <c r="D26" s="2">
        <v>900</v>
      </c>
      <c r="E26" t="s">
        <v>11</v>
      </c>
      <c r="F26" t="s">
        <v>20</v>
      </c>
      <c r="G26" t="str">
        <f>TEXT(FinanceData[[#This Row],[Date]],"MMM")</f>
        <v>Feb</v>
      </c>
    </row>
    <row r="27" spans="1:7" x14ac:dyDescent="0.3">
      <c r="A27" s="1">
        <v>46059</v>
      </c>
      <c r="B27" t="s">
        <v>9</v>
      </c>
      <c r="C27" t="s">
        <v>10</v>
      </c>
      <c r="D27" s="2">
        <v>320</v>
      </c>
      <c r="E27" t="s">
        <v>11</v>
      </c>
      <c r="F27" t="s">
        <v>21</v>
      </c>
      <c r="G27" t="str">
        <f>TEXT(FinanceData[[#This Row],[Date]],"MMM")</f>
        <v>Feb</v>
      </c>
    </row>
    <row r="28" spans="1:7" x14ac:dyDescent="0.3">
      <c r="A28" s="1">
        <v>46060</v>
      </c>
      <c r="B28" t="s">
        <v>22</v>
      </c>
      <c r="C28" t="s">
        <v>10</v>
      </c>
      <c r="D28" s="2">
        <v>650</v>
      </c>
      <c r="E28" t="s">
        <v>17</v>
      </c>
      <c r="F28" t="s">
        <v>23</v>
      </c>
      <c r="G28" t="str">
        <f>TEXT(FinanceData[[#This Row],[Date]],"MMM")</f>
        <v>Feb</v>
      </c>
    </row>
    <row r="29" spans="1:7" x14ac:dyDescent="0.3">
      <c r="A29" s="1">
        <v>46061</v>
      </c>
      <c r="B29" t="s">
        <v>13</v>
      </c>
      <c r="C29" t="s">
        <v>10</v>
      </c>
      <c r="D29" s="2">
        <v>210</v>
      </c>
      <c r="E29" t="s">
        <v>14</v>
      </c>
      <c r="F29" t="s">
        <v>24</v>
      </c>
      <c r="G29" t="str">
        <f>TEXT(FinanceData[[#This Row],[Date]],"MMM")</f>
        <v>Feb</v>
      </c>
    </row>
    <row r="30" spans="1:7" x14ac:dyDescent="0.3">
      <c r="A30" s="1">
        <v>46062</v>
      </c>
      <c r="B30" t="s">
        <v>9</v>
      </c>
      <c r="C30" t="s">
        <v>10</v>
      </c>
      <c r="D30" s="2">
        <v>230</v>
      </c>
      <c r="E30" t="s">
        <v>11</v>
      </c>
      <c r="F30" t="s">
        <v>25</v>
      </c>
      <c r="G30" t="str">
        <f>TEXT(FinanceData[[#This Row],[Date]],"MMM")</f>
        <v>Feb</v>
      </c>
    </row>
    <row r="31" spans="1:7" x14ac:dyDescent="0.3">
      <c r="A31" s="1">
        <v>46063</v>
      </c>
      <c r="B31" t="s">
        <v>19</v>
      </c>
      <c r="C31" t="s">
        <v>10</v>
      </c>
      <c r="D31" s="2">
        <v>1100</v>
      </c>
      <c r="E31" t="s">
        <v>11</v>
      </c>
      <c r="F31" t="s">
        <v>26</v>
      </c>
      <c r="G31" t="str">
        <f>TEXT(FinanceData[[#This Row],[Date]],"MMM")</f>
        <v>Feb</v>
      </c>
    </row>
    <row r="32" spans="1:7" x14ac:dyDescent="0.3">
      <c r="A32" s="1">
        <v>46064</v>
      </c>
      <c r="B32" t="s">
        <v>16</v>
      </c>
      <c r="C32" t="s">
        <v>10</v>
      </c>
      <c r="D32" s="2">
        <v>1000</v>
      </c>
      <c r="E32" t="s">
        <v>17</v>
      </c>
      <c r="F32" t="s">
        <v>27</v>
      </c>
      <c r="G32" t="str">
        <f>TEXT(FinanceData[[#This Row],[Date]],"MMM")</f>
        <v>Feb</v>
      </c>
    </row>
    <row r="33" spans="1:7" x14ac:dyDescent="0.3">
      <c r="A33" s="1">
        <v>46065</v>
      </c>
      <c r="B33" t="s">
        <v>9</v>
      </c>
      <c r="C33" t="s">
        <v>10</v>
      </c>
      <c r="D33" s="2">
        <v>360</v>
      </c>
      <c r="E33" t="s">
        <v>11</v>
      </c>
      <c r="F33" t="s">
        <v>12</v>
      </c>
      <c r="G33" t="str">
        <f>TEXT(FinanceData[[#This Row],[Date]],"MMM")</f>
        <v>Feb</v>
      </c>
    </row>
    <row r="34" spans="1:7" x14ac:dyDescent="0.3">
      <c r="A34" s="1">
        <v>46066</v>
      </c>
      <c r="B34" t="s">
        <v>13</v>
      </c>
      <c r="C34" t="s">
        <v>10</v>
      </c>
      <c r="D34" s="2">
        <v>160</v>
      </c>
      <c r="E34" t="s">
        <v>14</v>
      </c>
      <c r="F34" t="s">
        <v>28</v>
      </c>
      <c r="G34" t="str">
        <f>TEXT(FinanceData[[#This Row],[Date]],"MMM")</f>
        <v>Feb</v>
      </c>
    </row>
    <row r="35" spans="1:7" x14ac:dyDescent="0.3">
      <c r="A35" s="1">
        <v>46067</v>
      </c>
      <c r="B35" t="s">
        <v>22</v>
      </c>
      <c r="C35" t="s">
        <v>10</v>
      </c>
      <c r="D35" s="2">
        <v>720</v>
      </c>
      <c r="E35" t="s">
        <v>17</v>
      </c>
      <c r="F35" t="s">
        <v>29</v>
      </c>
      <c r="G35" t="str">
        <f>TEXT(FinanceData[[#This Row],[Date]],"MMM")</f>
        <v>Feb</v>
      </c>
    </row>
    <row r="36" spans="1:7" x14ac:dyDescent="0.3">
      <c r="A36" s="1">
        <v>46068</v>
      </c>
      <c r="B36" t="s">
        <v>9</v>
      </c>
      <c r="C36" t="s">
        <v>10</v>
      </c>
      <c r="D36" s="2">
        <v>420</v>
      </c>
      <c r="E36" t="s">
        <v>11</v>
      </c>
      <c r="F36" t="s">
        <v>21</v>
      </c>
      <c r="G36" t="str">
        <f>TEXT(FinanceData[[#This Row],[Date]],"MMM")</f>
        <v>Feb</v>
      </c>
    </row>
    <row r="37" spans="1:7" x14ac:dyDescent="0.3">
      <c r="A37" s="1">
        <v>46069</v>
      </c>
      <c r="B37" t="s">
        <v>19</v>
      </c>
      <c r="C37" t="s">
        <v>10</v>
      </c>
      <c r="D37" s="2">
        <v>700</v>
      </c>
      <c r="E37" t="s">
        <v>11</v>
      </c>
      <c r="F37" t="s">
        <v>30</v>
      </c>
      <c r="G37" t="str">
        <f>TEXT(FinanceData[[#This Row],[Date]],"MMM")</f>
        <v>Feb</v>
      </c>
    </row>
    <row r="38" spans="1:7" x14ac:dyDescent="0.3">
      <c r="A38" s="1">
        <v>46070</v>
      </c>
      <c r="B38" t="s">
        <v>13</v>
      </c>
      <c r="C38" t="s">
        <v>10</v>
      </c>
      <c r="D38" s="2">
        <v>240</v>
      </c>
      <c r="E38" t="s">
        <v>14</v>
      </c>
      <c r="F38" t="s">
        <v>31</v>
      </c>
      <c r="G38" t="str">
        <f>TEXT(FinanceData[[#This Row],[Date]],"MMM")</f>
        <v>Feb</v>
      </c>
    </row>
    <row r="39" spans="1:7" x14ac:dyDescent="0.3">
      <c r="A39" s="1">
        <v>46071</v>
      </c>
      <c r="B39" t="s">
        <v>16</v>
      </c>
      <c r="C39" t="s">
        <v>10</v>
      </c>
      <c r="D39" s="2">
        <v>1350</v>
      </c>
      <c r="E39" t="s">
        <v>17</v>
      </c>
      <c r="F39" t="s">
        <v>32</v>
      </c>
      <c r="G39" t="str">
        <f>TEXT(FinanceData[[#This Row],[Date]],"MMM")</f>
        <v>Feb</v>
      </c>
    </row>
    <row r="40" spans="1:7" x14ac:dyDescent="0.3">
      <c r="A40" s="1">
        <v>46072</v>
      </c>
      <c r="B40" t="s">
        <v>9</v>
      </c>
      <c r="C40" t="s">
        <v>10</v>
      </c>
      <c r="D40" s="2">
        <v>280</v>
      </c>
      <c r="E40" t="s">
        <v>11</v>
      </c>
      <c r="F40" t="s">
        <v>12</v>
      </c>
      <c r="G40" t="str">
        <f>TEXT(FinanceData[[#This Row],[Date]],"MMM")</f>
        <v>Feb</v>
      </c>
    </row>
    <row r="41" spans="1:7" x14ac:dyDescent="0.3">
      <c r="A41" s="1">
        <v>46073</v>
      </c>
      <c r="B41" t="s">
        <v>22</v>
      </c>
      <c r="C41" t="s">
        <v>10</v>
      </c>
      <c r="D41" s="2">
        <v>370</v>
      </c>
      <c r="E41" t="s">
        <v>11</v>
      </c>
      <c r="F41" t="s">
        <v>33</v>
      </c>
      <c r="G41" t="str">
        <f>TEXT(FinanceData[[#This Row],[Date]],"MMM")</f>
        <v>Feb</v>
      </c>
    </row>
    <row r="42" spans="1:7" x14ac:dyDescent="0.3">
      <c r="A42" s="1">
        <v>46082</v>
      </c>
      <c r="B42" t="s">
        <v>6</v>
      </c>
      <c r="C42" t="s">
        <v>7</v>
      </c>
      <c r="D42" s="2">
        <v>32000</v>
      </c>
      <c r="E42" t="s">
        <v>8</v>
      </c>
      <c r="F42" t="s">
        <v>6</v>
      </c>
      <c r="G42" t="str">
        <f>TEXT(FinanceData[[#This Row],[Date]],"MMM")</f>
        <v>Mar</v>
      </c>
    </row>
    <row r="43" spans="1:7" x14ac:dyDescent="0.3">
      <c r="A43" s="1">
        <v>46083</v>
      </c>
      <c r="B43" t="s">
        <v>9</v>
      </c>
      <c r="C43" t="s">
        <v>10</v>
      </c>
      <c r="D43" s="2">
        <v>270</v>
      </c>
      <c r="E43" t="s">
        <v>11</v>
      </c>
      <c r="F43" t="s">
        <v>12</v>
      </c>
      <c r="G43" t="str">
        <f>TEXT(FinanceData[[#This Row],[Date]],"MMM")</f>
        <v>Mar</v>
      </c>
    </row>
    <row r="44" spans="1:7" x14ac:dyDescent="0.3">
      <c r="A44" s="1">
        <v>46084</v>
      </c>
      <c r="B44" t="s">
        <v>13</v>
      </c>
      <c r="C44" t="s">
        <v>10</v>
      </c>
      <c r="D44" s="2">
        <v>140</v>
      </c>
      <c r="E44" t="s">
        <v>14</v>
      </c>
      <c r="F44" t="s">
        <v>15</v>
      </c>
      <c r="G44" t="str">
        <f>TEXT(FinanceData[[#This Row],[Date]],"MMM")</f>
        <v>Mar</v>
      </c>
    </row>
    <row r="45" spans="1:7" x14ac:dyDescent="0.3">
      <c r="A45" s="1">
        <v>46085</v>
      </c>
      <c r="B45" t="s">
        <v>16</v>
      </c>
      <c r="C45" t="s">
        <v>10</v>
      </c>
      <c r="D45" s="2">
        <v>1600</v>
      </c>
      <c r="E45" t="s">
        <v>17</v>
      </c>
      <c r="F45" t="s">
        <v>18</v>
      </c>
      <c r="G45" t="str">
        <f>TEXT(FinanceData[[#This Row],[Date]],"MMM")</f>
        <v>Mar</v>
      </c>
    </row>
    <row r="46" spans="1:7" x14ac:dyDescent="0.3">
      <c r="A46" s="1">
        <v>46086</v>
      </c>
      <c r="B46" t="s">
        <v>19</v>
      </c>
      <c r="C46" t="s">
        <v>10</v>
      </c>
      <c r="D46" s="2">
        <v>950</v>
      </c>
      <c r="E46" t="s">
        <v>11</v>
      </c>
      <c r="F46" t="s">
        <v>20</v>
      </c>
      <c r="G46" t="str">
        <f>TEXT(FinanceData[[#This Row],[Date]],"MMM")</f>
        <v>Mar</v>
      </c>
    </row>
    <row r="47" spans="1:7" x14ac:dyDescent="0.3">
      <c r="A47" s="1">
        <v>46087</v>
      </c>
      <c r="B47" t="s">
        <v>9</v>
      </c>
      <c r="C47" t="s">
        <v>10</v>
      </c>
      <c r="D47" s="2">
        <v>330</v>
      </c>
      <c r="E47" t="s">
        <v>11</v>
      </c>
      <c r="F47" t="s">
        <v>21</v>
      </c>
      <c r="G47" t="str">
        <f>TEXT(FinanceData[[#This Row],[Date]],"MMM")</f>
        <v>Mar</v>
      </c>
    </row>
    <row r="48" spans="1:7" x14ac:dyDescent="0.3">
      <c r="A48" s="1">
        <v>46088</v>
      </c>
      <c r="B48" t="s">
        <v>22</v>
      </c>
      <c r="C48" t="s">
        <v>10</v>
      </c>
      <c r="D48" s="2">
        <v>680</v>
      </c>
      <c r="E48" t="s">
        <v>17</v>
      </c>
      <c r="F48" t="s">
        <v>23</v>
      </c>
      <c r="G48" t="str">
        <f>TEXT(FinanceData[[#This Row],[Date]],"MMM")</f>
        <v>Mar</v>
      </c>
    </row>
    <row r="49" spans="1:7" x14ac:dyDescent="0.3">
      <c r="A49" s="1">
        <v>46089</v>
      </c>
      <c r="B49" t="s">
        <v>13</v>
      </c>
      <c r="C49" t="s">
        <v>10</v>
      </c>
      <c r="D49" s="2">
        <v>220</v>
      </c>
      <c r="E49" t="s">
        <v>14</v>
      </c>
      <c r="F49" t="s">
        <v>24</v>
      </c>
      <c r="G49" t="str">
        <f>TEXT(FinanceData[[#This Row],[Date]],"MMM")</f>
        <v>Mar</v>
      </c>
    </row>
    <row r="50" spans="1:7" x14ac:dyDescent="0.3">
      <c r="A50" s="1">
        <v>46090</v>
      </c>
      <c r="B50" t="s">
        <v>9</v>
      </c>
      <c r="C50" t="s">
        <v>10</v>
      </c>
      <c r="D50" s="2">
        <v>240</v>
      </c>
      <c r="E50" t="s">
        <v>11</v>
      </c>
      <c r="F50" t="s">
        <v>25</v>
      </c>
      <c r="G50" t="str">
        <f>TEXT(FinanceData[[#This Row],[Date]],"MMM")</f>
        <v>Mar</v>
      </c>
    </row>
    <row r="51" spans="1:7" x14ac:dyDescent="0.3">
      <c r="A51" s="1">
        <v>46091</v>
      </c>
      <c r="B51" t="s">
        <v>19</v>
      </c>
      <c r="C51" t="s">
        <v>10</v>
      </c>
      <c r="D51" s="2">
        <v>1150</v>
      </c>
      <c r="E51" t="s">
        <v>11</v>
      </c>
      <c r="F51" t="s">
        <v>26</v>
      </c>
      <c r="G51" t="str">
        <f>TEXT(FinanceData[[#This Row],[Date]],"MMM")</f>
        <v>Mar</v>
      </c>
    </row>
    <row r="52" spans="1:7" x14ac:dyDescent="0.3">
      <c r="A52" s="1">
        <v>46092</v>
      </c>
      <c r="B52" t="s">
        <v>16</v>
      </c>
      <c r="C52" t="s">
        <v>10</v>
      </c>
      <c r="D52" s="2">
        <v>1100</v>
      </c>
      <c r="E52" t="s">
        <v>17</v>
      </c>
      <c r="F52" t="s">
        <v>27</v>
      </c>
      <c r="G52" t="str">
        <f>TEXT(FinanceData[[#This Row],[Date]],"MMM")</f>
        <v>Mar</v>
      </c>
    </row>
    <row r="53" spans="1:7" x14ac:dyDescent="0.3">
      <c r="A53" s="1">
        <v>46093</v>
      </c>
      <c r="B53" t="s">
        <v>9</v>
      </c>
      <c r="C53" t="s">
        <v>10</v>
      </c>
      <c r="D53" s="2">
        <v>370</v>
      </c>
      <c r="E53" t="s">
        <v>11</v>
      </c>
      <c r="F53" t="s">
        <v>12</v>
      </c>
      <c r="G53" t="str">
        <f>TEXT(FinanceData[[#This Row],[Date]],"MMM")</f>
        <v>Mar</v>
      </c>
    </row>
    <row r="54" spans="1:7" x14ac:dyDescent="0.3">
      <c r="A54" s="1">
        <v>46094</v>
      </c>
      <c r="B54" t="s">
        <v>13</v>
      </c>
      <c r="C54" t="s">
        <v>10</v>
      </c>
      <c r="D54" s="2">
        <v>170</v>
      </c>
      <c r="E54" t="s">
        <v>14</v>
      </c>
      <c r="F54" t="s">
        <v>28</v>
      </c>
      <c r="G54" t="str">
        <f>TEXT(FinanceData[[#This Row],[Date]],"MMM")</f>
        <v>Mar</v>
      </c>
    </row>
    <row r="55" spans="1:7" x14ac:dyDescent="0.3">
      <c r="A55" s="1">
        <v>46095</v>
      </c>
      <c r="B55" t="s">
        <v>22</v>
      </c>
      <c r="C55" t="s">
        <v>10</v>
      </c>
      <c r="D55" s="2">
        <v>740</v>
      </c>
      <c r="E55" t="s">
        <v>17</v>
      </c>
      <c r="F55" t="s">
        <v>29</v>
      </c>
      <c r="G55" t="str">
        <f>TEXT(FinanceData[[#This Row],[Date]],"MMM")</f>
        <v>Mar</v>
      </c>
    </row>
    <row r="56" spans="1:7" x14ac:dyDescent="0.3">
      <c r="A56" s="1">
        <v>46096</v>
      </c>
      <c r="B56" t="s">
        <v>9</v>
      </c>
      <c r="C56" t="s">
        <v>10</v>
      </c>
      <c r="D56" s="2">
        <v>430</v>
      </c>
      <c r="E56" t="s">
        <v>11</v>
      </c>
      <c r="F56" t="s">
        <v>21</v>
      </c>
      <c r="G56" t="str">
        <f>TEXT(FinanceData[[#This Row],[Date]],"MMM")</f>
        <v>Mar</v>
      </c>
    </row>
    <row r="57" spans="1:7" x14ac:dyDescent="0.3">
      <c r="A57" s="1">
        <v>46097</v>
      </c>
      <c r="B57" t="s">
        <v>19</v>
      </c>
      <c r="C57" t="s">
        <v>10</v>
      </c>
      <c r="D57" s="2">
        <v>720</v>
      </c>
      <c r="E57" t="s">
        <v>11</v>
      </c>
      <c r="F57" t="s">
        <v>30</v>
      </c>
      <c r="G57" t="str">
        <f>TEXT(FinanceData[[#This Row],[Date]],"MMM")</f>
        <v>Mar</v>
      </c>
    </row>
    <row r="58" spans="1:7" x14ac:dyDescent="0.3">
      <c r="A58" s="1">
        <v>46098</v>
      </c>
      <c r="B58" t="s">
        <v>13</v>
      </c>
      <c r="C58" t="s">
        <v>10</v>
      </c>
      <c r="D58" s="2">
        <v>250</v>
      </c>
      <c r="E58" t="s">
        <v>14</v>
      </c>
      <c r="F58" t="s">
        <v>31</v>
      </c>
      <c r="G58" t="str">
        <f>TEXT(FinanceData[[#This Row],[Date]],"MMM")</f>
        <v>Mar</v>
      </c>
    </row>
    <row r="59" spans="1:7" x14ac:dyDescent="0.3">
      <c r="A59" s="1">
        <v>46099</v>
      </c>
      <c r="B59" t="s">
        <v>16</v>
      </c>
      <c r="C59" t="s">
        <v>10</v>
      </c>
      <c r="D59" s="2">
        <v>1400</v>
      </c>
      <c r="E59" t="s">
        <v>17</v>
      </c>
      <c r="F59" t="s">
        <v>32</v>
      </c>
      <c r="G59" t="str">
        <f>TEXT(FinanceData[[#This Row],[Date]],"MMM")</f>
        <v>Mar</v>
      </c>
    </row>
    <row r="60" spans="1:7" x14ac:dyDescent="0.3">
      <c r="A60" s="1">
        <v>46100</v>
      </c>
      <c r="B60" t="s">
        <v>9</v>
      </c>
      <c r="C60" t="s">
        <v>10</v>
      </c>
      <c r="D60" s="2">
        <v>290</v>
      </c>
      <c r="E60" t="s">
        <v>11</v>
      </c>
      <c r="F60" t="s">
        <v>12</v>
      </c>
      <c r="G60" t="str">
        <f>TEXT(FinanceData[[#This Row],[Date]],"MMM")</f>
        <v>Mar</v>
      </c>
    </row>
    <row r="61" spans="1:7" x14ac:dyDescent="0.3">
      <c r="A61" s="1">
        <v>46101</v>
      </c>
      <c r="B61" t="s">
        <v>22</v>
      </c>
      <c r="C61" t="s">
        <v>10</v>
      </c>
      <c r="D61" s="2">
        <v>390</v>
      </c>
      <c r="E61" t="s">
        <v>11</v>
      </c>
      <c r="F61" t="s">
        <v>33</v>
      </c>
      <c r="G61" t="str">
        <f>TEXT(FinanceData[[#This Row],[Date]],"MMM")</f>
        <v>Mar</v>
      </c>
    </row>
    <row r="62" spans="1:7" x14ac:dyDescent="0.3">
      <c r="A62" s="1">
        <v>46113</v>
      </c>
      <c r="B62" t="s">
        <v>6</v>
      </c>
      <c r="C62" t="s">
        <v>7</v>
      </c>
      <c r="D62" s="2">
        <v>32000</v>
      </c>
      <c r="E62" t="s">
        <v>8</v>
      </c>
      <c r="F62" t="s">
        <v>6</v>
      </c>
      <c r="G62" t="str">
        <f>TEXT(FinanceData[[#This Row],[Date]],"MMM")</f>
        <v>Apr</v>
      </c>
    </row>
    <row r="63" spans="1:7" x14ac:dyDescent="0.3">
      <c r="A63" s="1">
        <v>46114</v>
      </c>
      <c r="B63" t="s">
        <v>9</v>
      </c>
      <c r="C63" t="s">
        <v>10</v>
      </c>
      <c r="D63" s="2">
        <v>280</v>
      </c>
      <c r="E63" t="s">
        <v>11</v>
      </c>
      <c r="F63" t="s">
        <v>12</v>
      </c>
      <c r="G63" t="str">
        <f>TEXT(FinanceData[[#This Row],[Date]],"MMM")</f>
        <v>Apr</v>
      </c>
    </row>
    <row r="64" spans="1:7" x14ac:dyDescent="0.3">
      <c r="A64" s="1">
        <v>46115</v>
      </c>
      <c r="B64" t="s">
        <v>13</v>
      </c>
      <c r="C64" t="s">
        <v>10</v>
      </c>
      <c r="D64" s="2">
        <v>150</v>
      </c>
      <c r="E64" t="s">
        <v>14</v>
      </c>
      <c r="F64" t="s">
        <v>15</v>
      </c>
      <c r="G64" t="str">
        <f>TEXT(FinanceData[[#This Row],[Date]],"MMM")</f>
        <v>Apr</v>
      </c>
    </row>
    <row r="65" spans="1:7" x14ac:dyDescent="0.3">
      <c r="A65" s="1">
        <v>46116</v>
      </c>
      <c r="B65" t="s">
        <v>16</v>
      </c>
      <c r="C65" t="s">
        <v>10</v>
      </c>
      <c r="D65" s="2">
        <v>1700</v>
      </c>
      <c r="E65" t="s">
        <v>17</v>
      </c>
      <c r="F65" t="s">
        <v>18</v>
      </c>
      <c r="G65" t="str">
        <f>TEXT(FinanceData[[#This Row],[Date]],"MMM")</f>
        <v>Apr</v>
      </c>
    </row>
    <row r="66" spans="1:7" x14ac:dyDescent="0.3">
      <c r="A66" s="1">
        <v>46117</v>
      </c>
      <c r="B66" t="s">
        <v>19</v>
      </c>
      <c r="C66" t="s">
        <v>10</v>
      </c>
      <c r="D66" s="2">
        <v>1000</v>
      </c>
      <c r="E66" t="s">
        <v>11</v>
      </c>
      <c r="F66" t="s">
        <v>20</v>
      </c>
      <c r="G66" t="str">
        <f>TEXT(FinanceData[[#This Row],[Date]],"MMM")</f>
        <v>Apr</v>
      </c>
    </row>
    <row r="67" spans="1:7" x14ac:dyDescent="0.3">
      <c r="A67" s="1">
        <v>46118</v>
      </c>
      <c r="B67" t="s">
        <v>9</v>
      </c>
      <c r="C67" t="s">
        <v>10</v>
      </c>
      <c r="D67" s="2">
        <v>340</v>
      </c>
      <c r="E67" t="s">
        <v>11</v>
      </c>
      <c r="F67" t="s">
        <v>21</v>
      </c>
      <c r="G67" t="str">
        <f>TEXT(FinanceData[[#This Row],[Date]],"MMM")</f>
        <v>Apr</v>
      </c>
    </row>
    <row r="68" spans="1:7" x14ac:dyDescent="0.3">
      <c r="A68" s="1">
        <v>46119</v>
      </c>
      <c r="B68" t="s">
        <v>22</v>
      </c>
      <c r="C68" t="s">
        <v>10</v>
      </c>
      <c r="D68" s="2">
        <v>700</v>
      </c>
      <c r="E68" t="s">
        <v>17</v>
      </c>
      <c r="F68" t="s">
        <v>23</v>
      </c>
      <c r="G68" t="str">
        <f>TEXT(FinanceData[[#This Row],[Date]],"MMM")</f>
        <v>Apr</v>
      </c>
    </row>
    <row r="69" spans="1:7" x14ac:dyDescent="0.3">
      <c r="A69" s="1">
        <v>46120</v>
      </c>
      <c r="B69" t="s">
        <v>13</v>
      </c>
      <c r="C69" t="s">
        <v>10</v>
      </c>
      <c r="D69" s="2">
        <v>230</v>
      </c>
      <c r="E69" t="s">
        <v>14</v>
      </c>
      <c r="F69" t="s">
        <v>24</v>
      </c>
      <c r="G69" t="str">
        <f>TEXT(FinanceData[[#This Row],[Date]],"MMM")</f>
        <v>Apr</v>
      </c>
    </row>
    <row r="70" spans="1:7" x14ac:dyDescent="0.3">
      <c r="A70" s="1">
        <v>46121</v>
      </c>
      <c r="B70" t="s">
        <v>9</v>
      </c>
      <c r="C70" t="s">
        <v>10</v>
      </c>
      <c r="D70" s="2">
        <v>250</v>
      </c>
      <c r="E70" t="s">
        <v>11</v>
      </c>
      <c r="F70" t="s">
        <v>25</v>
      </c>
      <c r="G70" t="str">
        <f>TEXT(FinanceData[[#This Row],[Date]],"MMM")</f>
        <v>Apr</v>
      </c>
    </row>
    <row r="71" spans="1:7" x14ac:dyDescent="0.3">
      <c r="A71" s="1">
        <v>46122</v>
      </c>
      <c r="B71" t="s">
        <v>19</v>
      </c>
      <c r="C71" t="s">
        <v>10</v>
      </c>
      <c r="D71" s="2">
        <v>1200</v>
      </c>
      <c r="E71" t="s">
        <v>11</v>
      </c>
      <c r="F71" t="s">
        <v>26</v>
      </c>
      <c r="G71" t="str">
        <f>TEXT(FinanceData[[#This Row],[Date]],"MMM")</f>
        <v>Apr</v>
      </c>
    </row>
    <row r="72" spans="1:7" x14ac:dyDescent="0.3">
      <c r="A72" s="1">
        <v>46123</v>
      </c>
      <c r="B72" t="s">
        <v>16</v>
      </c>
      <c r="C72" t="s">
        <v>10</v>
      </c>
      <c r="D72" s="2">
        <v>1200</v>
      </c>
      <c r="E72" t="s">
        <v>17</v>
      </c>
      <c r="F72" t="s">
        <v>27</v>
      </c>
      <c r="G72" t="str">
        <f>TEXT(FinanceData[[#This Row],[Date]],"MMM")</f>
        <v>Apr</v>
      </c>
    </row>
    <row r="73" spans="1:7" x14ac:dyDescent="0.3">
      <c r="A73" s="1">
        <v>46124</v>
      </c>
      <c r="B73" t="s">
        <v>9</v>
      </c>
      <c r="C73" t="s">
        <v>10</v>
      </c>
      <c r="D73" s="2">
        <v>380</v>
      </c>
      <c r="E73" t="s">
        <v>11</v>
      </c>
      <c r="F73" t="s">
        <v>12</v>
      </c>
      <c r="G73" t="str">
        <f>TEXT(FinanceData[[#This Row],[Date]],"MMM")</f>
        <v>Apr</v>
      </c>
    </row>
    <row r="74" spans="1:7" x14ac:dyDescent="0.3">
      <c r="A74" s="1">
        <v>46125</v>
      </c>
      <c r="B74" t="s">
        <v>13</v>
      </c>
      <c r="C74" t="s">
        <v>10</v>
      </c>
      <c r="D74" s="2">
        <v>180</v>
      </c>
      <c r="E74" t="s">
        <v>14</v>
      </c>
      <c r="F74" t="s">
        <v>28</v>
      </c>
      <c r="G74" t="str">
        <f>TEXT(FinanceData[[#This Row],[Date]],"MMM")</f>
        <v>Apr</v>
      </c>
    </row>
    <row r="75" spans="1:7" x14ac:dyDescent="0.3">
      <c r="A75" s="1">
        <v>46126</v>
      </c>
      <c r="B75" t="s">
        <v>22</v>
      </c>
      <c r="C75" t="s">
        <v>10</v>
      </c>
      <c r="D75" s="2">
        <v>760</v>
      </c>
      <c r="E75" t="s">
        <v>17</v>
      </c>
      <c r="F75" t="s">
        <v>29</v>
      </c>
      <c r="G75" t="str">
        <f>TEXT(FinanceData[[#This Row],[Date]],"MMM")</f>
        <v>Apr</v>
      </c>
    </row>
    <row r="76" spans="1:7" x14ac:dyDescent="0.3">
      <c r="A76" s="1">
        <v>46127</v>
      </c>
      <c r="B76" t="s">
        <v>9</v>
      </c>
      <c r="C76" t="s">
        <v>10</v>
      </c>
      <c r="D76" s="2">
        <v>440</v>
      </c>
      <c r="E76" t="s">
        <v>11</v>
      </c>
      <c r="F76" t="s">
        <v>21</v>
      </c>
      <c r="G76" t="str">
        <f>TEXT(FinanceData[[#This Row],[Date]],"MMM")</f>
        <v>Apr</v>
      </c>
    </row>
    <row r="77" spans="1:7" x14ac:dyDescent="0.3">
      <c r="A77" s="1">
        <v>46128</v>
      </c>
      <c r="B77" t="s">
        <v>19</v>
      </c>
      <c r="C77" t="s">
        <v>10</v>
      </c>
      <c r="D77" s="2">
        <v>750</v>
      </c>
      <c r="E77" t="s">
        <v>11</v>
      </c>
      <c r="F77" t="s">
        <v>30</v>
      </c>
      <c r="G77" t="str">
        <f>TEXT(FinanceData[[#This Row],[Date]],"MMM")</f>
        <v>Apr</v>
      </c>
    </row>
    <row r="78" spans="1:7" x14ac:dyDescent="0.3">
      <c r="A78" s="1">
        <v>46129</v>
      </c>
      <c r="B78" t="s">
        <v>13</v>
      </c>
      <c r="C78" t="s">
        <v>10</v>
      </c>
      <c r="D78" s="2">
        <v>260</v>
      </c>
      <c r="E78" t="s">
        <v>14</v>
      </c>
      <c r="F78" t="s">
        <v>31</v>
      </c>
      <c r="G78" t="str">
        <f>TEXT(FinanceData[[#This Row],[Date]],"MMM")</f>
        <v>Apr</v>
      </c>
    </row>
    <row r="79" spans="1:7" x14ac:dyDescent="0.3">
      <c r="A79" s="1">
        <v>46130</v>
      </c>
      <c r="B79" t="s">
        <v>16</v>
      </c>
      <c r="C79" t="s">
        <v>10</v>
      </c>
      <c r="D79" s="2">
        <v>1500</v>
      </c>
      <c r="E79" t="s">
        <v>17</v>
      </c>
      <c r="F79" t="s">
        <v>32</v>
      </c>
      <c r="G79" t="str">
        <f>TEXT(FinanceData[[#This Row],[Date]],"MMM")</f>
        <v>Apr</v>
      </c>
    </row>
    <row r="80" spans="1:7" x14ac:dyDescent="0.3">
      <c r="A80" s="1">
        <v>46131</v>
      </c>
      <c r="B80" t="s">
        <v>9</v>
      </c>
      <c r="C80" t="s">
        <v>10</v>
      </c>
      <c r="D80" s="2">
        <v>300</v>
      </c>
      <c r="E80" t="s">
        <v>11</v>
      </c>
      <c r="F80" t="s">
        <v>12</v>
      </c>
      <c r="G80" t="str">
        <f>TEXT(FinanceData[[#This Row],[Date]],"MMM")</f>
        <v>Apr</v>
      </c>
    </row>
    <row r="81" spans="1:7" x14ac:dyDescent="0.3">
      <c r="A81" s="1">
        <v>46132</v>
      </c>
      <c r="B81" t="s">
        <v>22</v>
      </c>
      <c r="C81" t="s">
        <v>10</v>
      </c>
      <c r="D81" s="2">
        <v>400</v>
      </c>
      <c r="E81" t="s">
        <v>11</v>
      </c>
      <c r="F81" t="s">
        <v>33</v>
      </c>
      <c r="G81" t="str">
        <f>TEXT(FinanceData[[#This Row],[Date]],"MMM")</f>
        <v>Apr</v>
      </c>
    </row>
    <row r="82" spans="1:7" x14ac:dyDescent="0.3">
      <c r="A82" s="1">
        <v>46143</v>
      </c>
      <c r="B82" t="s">
        <v>6</v>
      </c>
      <c r="C82" t="s">
        <v>7</v>
      </c>
      <c r="D82" s="2">
        <v>33000</v>
      </c>
      <c r="E82" t="s">
        <v>8</v>
      </c>
      <c r="F82" t="s">
        <v>6</v>
      </c>
      <c r="G82" t="str">
        <f>TEXT(FinanceData[[#This Row],[Date]],"MMM")</f>
        <v>May</v>
      </c>
    </row>
    <row r="83" spans="1:7" x14ac:dyDescent="0.3">
      <c r="A83" s="1">
        <v>46144</v>
      </c>
      <c r="B83" t="s">
        <v>9</v>
      </c>
      <c r="C83" t="s">
        <v>10</v>
      </c>
      <c r="D83" s="2">
        <v>290</v>
      </c>
      <c r="E83" t="s">
        <v>11</v>
      </c>
      <c r="F83" t="s">
        <v>12</v>
      </c>
      <c r="G83" t="str">
        <f>TEXT(FinanceData[[#This Row],[Date]],"MMM")</f>
        <v>May</v>
      </c>
    </row>
    <row r="84" spans="1:7" x14ac:dyDescent="0.3">
      <c r="A84" s="1">
        <v>46145</v>
      </c>
      <c r="B84" t="s">
        <v>13</v>
      </c>
      <c r="C84" t="s">
        <v>10</v>
      </c>
      <c r="D84" s="2">
        <v>160</v>
      </c>
      <c r="E84" t="s">
        <v>14</v>
      </c>
      <c r="F84" t="s">
        <v>15</v>
      </c>
      <c r="G84" t="str">
        <f>TEXT(FinanceData[[#This Row],[Date]],"MMM")</f>
        <v>May</v>
      </c>
    </row>
    <row r="85" spans="1:7" x14ac:dyDescent="0.3">
      <c r="A85" s="1">
        <v>46146</v>
      </c>
      <c r="B85" t="s">
        <v>16</v>
      </c>
      <c r="C85" t="s">
        <v>10</v>
      </c>
      <c r="D85" s="2">
        <v>1800</v>
      </c>
      <c r="E85" t="s">
        <v>17</v>
      </c>
      <c r="F85" t="s">
        <v>18</v>
      </c>
      <c r="G85" t="str">
        <f>TEXT(FinanceData[[#This Row],[Date]],"MMM")</f>
        <v>May</v>
      </c>
    </row>
    <row r="86" spans="1:7" x14ac:dyDescent="0.3">
      <c r="A86" s="1">
        <v>46147</v>
      </c>
      <c r="B86" t="s">
        <v>19</v>
      </c>
      <c r="C86" t="s">
        <v>10</v>
      </c>
      <c r="D86" s="2">
        <v>1050</v>
      </c>
      <c r="E86" t="s">
        <v>11</v>
      </c>
      <c r="F86" t="s">
        <v>20</v>
      </c>
      <c r="G86" t="str">
        <f>TEXT(FinanceData[[#This Row],[Date]],"MMM")</f>
        <v>May</v>
      </c>
    </row>
    <row r="87" spans="1:7" x14ac:dyDescent="0.3">
      <c r="A87" s="1">
        <v>46148</v>
      </c>
      <c r="B87" t="s">
        <v>9</v>
      </c>
      <c r="C87" t="s">
        <v>10</v>
      </c>
      <c r="D87" s="2">
        <v>350</v>
      </c>
      <c r="E87" t="s">
        <v>11</v>
      </c>
      <c r="F87" t="s">
        <v>21</v>
      </c>
      <c r="G87" t="str">
        <f>TEXT(FinanceData[[#This Row],[Date]],"MMM")</f>
        <v>May</v>
      </c>
    </row>
    <row r="88" spans="1:7" x14ac:dyDescent="0.3">
      <c r="A88" s="1">
        <v>46149</v>
      </c>
      <c r="B88" t="s">
        <v>22</v>
      </c>
      <c r="C88" t="s">
        <v>10</v>
      </c>
      <c r="D88" s="2">
        <v>720</v>
      </c>
      <c r="E88" t="s">
        <v>17</v>
      </c>
      <c r="F88" t="s">
        <v>23</v>
      </c>
      <c r="G88" t="str">
        <f>TEXT(FinanceData[[#This Row],[Date]],"MMM")</f>
        <v>May</v>
      </c>
    </row>
    <row r="89" spans="1:7" x14ac:dyDescent="0.3">
      <c r="A89" s="1">
        <v>46150</v>
      </c>
      <c r="B89" t="s">
        <v>13</v>
      </c>
      <c r="C89" t="s">
        <v>10</v>
      </c>
      <c r="D89" s="2">
        <v>240</v>
      </c>
      <c r="E89" t="s">
        <v>14</v>
      </c>
      <c r="F89" t="s">
        <v>24</v>
      </c>
      <c r="G89" t="str">
        <f>TEXT(FinanceData[[#This Row],[Date]],"MMM")</f>
        <v>May</v>
      </c>
    </row>
    <row r="90" spans="1:7" x14ac:dyDescent="0.3">
      <c r="A90" s="1">
        <v>46151</v>
      </c>
      <c r="B90" t="s">
        <v>9</v>
      </c>
      <c r="C90" t="s">
        <v>10</v>
      </c>
      <c r="D90" s="2">
        <v>260</v>
      </c>
      <c r="E90" t="s">
        <v>11</v>
      </c>
      <c r="F90" t="s">
        <v>25</v>
      </c>
      <c r="G90" t="str">
        <f>TEXT(FinanceData[[#This Row],[Date]],"MMM")</f>
        <v>May</v>
      </c>
    </row>
    <row r="91" spans="1:7" x14ac:dyDescent="0.3">
      <c r="A91" s="1">
        <v>46152</v>
      </c>
      <c r="B91" t="s">
        <v>19</v>
      </c>
      <c r="C91" t="s">
        <v>10</v>
      </c>
      <c r="D91" s="2">
        <v>1250</v>
      </c>
      <c r="E91" t="s">
        <v>11</v>
      </c>
      <c r="F91" t="s">
        <v>26</v>
      </c>
      <c r="G91" t="str">
        <f>TEXT(FinanceData[[#This Row],[Date]],"MMM")</f>
        <v>May</v>
      </c>
    </row>
    <row r="92" spans="1:7" x14ac:dyDescent="0.3">
      <c r="A92" s="1">
        <v>46153</v>
      </c>
      <c r="B92" t="s">
        <v>16</v>
      </c>
      <c r="C92" t="s">
        <v>10</v>
      </c>
      <c r="D92" s="2">
        <v>1300</v>
      </c>
      <c r="E92" t="s">
        <v>17</v>
      </c>
      <c r="F92" t="s">
        <v>27</v>
      </c>
      <c r="G92" t="str">
        <f>TEXT(FinanceData[[#This Row],[Date]],"MMM")</f>
        <v>May</v>
      </c>
    </row>
    <row r="93" spans="1:7" x14ac:dyDescent="0.3">
      <c r="A93" s="1">
        <v>46154</v>
      </c>
      <c r="B93" t="s">
        <v>9</v>
      </c>
      <c r="C93" t="s">
        <v>10</v>
      </c>
      <c r="D93" s="2">
        <v>390</v>
      </c>
      <c r="E93" t="s">
        <v>11</v>
      </c>
      <c r="F93" t="s">
        <v>12</v>
      </c>
      <c r="G93" t="str">
        <f>TEXT(FinanceData[[#This Row],[Date]],"MMM")</f>
        <v>May</v>
      </c>
    </row>
    <row r="94" spans="1:7" x14ac:dyDescent="0.3">
      <c r="A94" s="1">
        <v>46155</v>
      </c>
      <c r="B94" t="s">
        <v>13</v>
      </c>
      <c r="C94" t="s">
        <v>10</v>
      </c>
      <c r="D94" s="2">
        <v>190</v>
      </c>
      <c r="E94" t="s">
        <v>14</v>
      </c>
      <c r="F94" t="s">
        <v>28</v>
      </c>
      <c r="G94" t="str">
        <f>TEXT(FinanceData[[#This Row],[Date]],"MMM")</f>
        <v>May</v>
      </c>
    </row>
    <row r="95" spans="1:7" x14ac:dyDescent="0.3">
      <c r="A95" s="1">
        <v>46156</v>
      </c>
      <c r="B95" t="s">
        <v>22</v>
      </c>
      <c r="C95" t="s">
        <v>10</v>
      </c>
      <c r="D95" s="2">
        <v>780</v>
      </c>
      <c r="E95" t="s">
        <v>17</v>
      </c>
      <c r="F95" t="s">
        <v>29</v>
      </c>
      <c r="G95" t="str">
        <f>TEXT(FinanceData[[#This Row],[Date]],"MMM")</f>
        <v>May</v>
      </c>
    </row>
    <row r="96" spans="1:7" x14ac:dyDescent="0.3">
      <c r="A96" s="1">
        <v>46157</v>
      </c>
      <c r="B96" t="s">
        <v>9</v>
      </c>
      <c r="C96" t="s">
        <v>10</v>
      </c>
      <c r="D96" s="2">
        <v>450</v>
      </c>
      <c r="E96" t="s">
        <v>11</v>
      </c>
      <c r="F96" t="s">
        <v>21</v>
      </c>
      <c r="G96" t="str">
        <f>TEXT(FinanceData[[#This Row],[Date]],"MMM")</f>
        <v>May</v>
      </c>
    </row>
    <row r="97" spans="1:7" x14ac:dyDescent="0.3">
      <c r="A97" s="1">
        <v>46158</v>
      </c>
      <c r="B97" t="s">
        <v>19</v>
      </c>
      <c r="C97" t="s">
        <v>10</v>
      </c>
      <c r="D97" s="2">
        <v>780</v>
      </c>
      <c r="E97" t="s">
        <v>11</v>
      </c>
      <c r="F97" t="s">
        <v>30</v>
      </c>
      <c r="G97" t="str">
        <f>TEXT(FinanceData[[#This Row],[Date]],"MMM")</f>
        <v>May</v>
      </c>
    </row>
    <row r="98" spans="1:7" x14ac:dyDescent="0.3">
      <c r="A98" s="1">
        <v>46159</v>
      </c>
      <c r="B98" t="s">
        <v>13</v>
      </c>
      <c r="C98" t="s">
        <v>10</v>
      </c>
      <c r="D98" s="2">
        <v>270</v>
      </c>
      <c r="E98" t="s">
        <v>14</v>
      </c>
      <c r="F98" t="s">
        <v>31</v>
      </c>
      <c r="G98" t="str">
        <f>TEXT(FinanceData[[#This Row],[Date]],"MMM")</f>
        <v>May</v>
      </c>
    </row>
    <row r="99" spans="1:7" x14ac:dyDescent="0.3">
      <c r="A99" s="1">
        <v>46160</v>
      </c>
      <c r="B99" t="s">
        <v>16</v>
      </c>
      <c r="C99" t="s">
        <v>10</v>
      </c>
      <c r="D99" s="2">
        <v>1600</v>
      </c>
      <c r="E99" t="s">
        <v>17</v>
      </c>
      <c r="F99" t="s">
        <v>32</v>
      </c>
      <c r="G99" t="str">
        <f>TEXT(FinanceData[[#This Row],[Date]],"MMM")</f>
        <v>May</v>
      </c>
    </row>
    <row r="100" spans="1:7" x14ac:dyDescent="0.3">
      <c r="A100" s="1">
        <v>46161</v>
      </c>
      <c r="B100" t="s">
        <v>9</v>
      </c>
      <c r="C100" t="s">
        <v>10</v>
      </c>
      <c r="D100" s="2">
        <v>310</v>
      </c>
      <c r="E100" t="s">
        <v>11</v>
      </c>
      <c r="F100" t="s">
        <v>12</v>
      </c>
      <c r="G100" t="str">
        <f>TEXT(FinanceData[[#This Row],[Date]],"MMM")</f>
        <v>May</v>
      </c>
    </row>
    <row r="101" spans="1:7" x14ac:dyDescent="0.3">
      <c r="A101" s="1">
        <v>46162</v>
      </c>
      <c r="B101" t="s">
        <v>22</v>
      </c>
      <c r="C101" t="s">
        <v>10</v>
      </c>
      <c r="D101" s="2">
        <v>420</v>
      </c>
      <c r="E101" t="s">
        <v>11</v>
      </c>
      <c r="F101" t="s">
        <v>33</v>
      </c>
      <c r="G101" t="str">
        <f>TEXT(FinanceData[[#This Row],[Date]],"MMM")</f>
        <v>May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3589-9C6D-4624-A4AC-DF633C843189}">
  <dimension ref="B1:I30"/>
  <sheetViews>
    <sheetView tabSelected="1" topLeftCell="A12" workbookViewId="0">
      <selection activeCell="F50" sqref="F50"/>
    </sheetView>
  </sheetViews>
  <sheetFormatPr defaultRowHeight="14.4" x14ac:dyDescent="0.3"/>
  <cols>
    <col min="1" max="1" width="10.33203125" customWidth="1"/>
    <col min="2" max="2" width="12.5546875" customWidth="1"/>
    <col min="3" max="3" width="12.88671875" customWidth="1"/>
    <col min="4" max="4" width="14.44140625" customWidth="1"/>
    <col min="5" max="5" width="13.44140625" bestFit="1" customWidth="1"/>
    <col min="6" max="6" width="10.44140625" customWidth="1"/>
    <col min="7" max="7" width="12.5546875" bestFit="1" customWidth="1"/>
    <col min="8" max="8" width="13.88671875" customWidth="1"/>
    <col min="9" max="9" width="13" customWidth="1"/>
    <col min="10" max="10" width="13.44140625" bestFit="1" customWidth="1"/>
  </cols>
  <sheetData>
    <row r="1" spans="2:9" x14ac:dyDescent="0.3">
      <c r="B1" s="5" t="s">
        <v>2</v>
      </c>
      <c r="C1" t="s">
        <v>10</v>
      </c>
      <c r="E1" t="s">
        <v>34</v>
      </c>
      <c r="F1" t="s">
        <v>35</v>
      </c>
      <c r="H1" s="5" t="s">
        <v>2</v>
      </c>
      <c r="I1" t="s">
        <v>10</v>
      </c>
    </row>
    <row r="2" spans="2:9" x14ac:dyDescent="0.3">
      <c r="E2" t="s">
        <v>36</v>
      </c>
      <c r="F2">
        <f>SUMIFS(FinanceData[Amount], FinanceData[Type], "Income")</f>
        <v>157000</v>
      </c>
    </row>
    <row r="3" spans="2:9" x14ac:dyDescent="0.3">
      <c r="B3" s="5" t="s">
        <v>1</v>
      </c>
      <c r="C3" t="s">
        <v>41</v>
      </c>
      <c r="E3" t="s">
        <v>37</v>
      </c>
      <c r="F3">
        <f>SUMIFS(FinanceData[Amount], FinanceData[Type], "Expense")</f>
        <v>57350</v>
      </c>
      <c r="H3" s="5" t="s">
        <v>51</v>
      </c>
      <c r="I3" t="s">
        <v>41</v>
      </c>
    </row>
    <row r="4" spans="2:9" x14ac:dyDescent="0.3">
      <c r="B4" s="6" t="s">
        <v>16</v>
      </c>
      <c r="C4" s="3">
        <v>20650</v>
      </c>
      <c r="E4" t="s">
        <v>38</v>
      </c>
      <c r="F4">
        <f>F2-F3</f>
        <v>99650</v>
      </c>
      <c r="H4" s="6" t="s">
        <v>43</v>
      </c>
      <c r="I4" s="3">
        <v>10480</v>
      </c>
    </row>
    <row r="5" spans="2:9" x14ac:dyDescent="0.3">
      <c r="B5" s="6" t="s">
        <v>19</v>
      </c>
      <c r="C5" s="3">
        <v>14200</v>
      </c>
      <c r="E5" t="s">
        <v>39</v>
      </c>
      <c r="F5" s="4">
        <f>F4 / F2</f>
        <v>0.63471337579617837</v>
      </c>
      <c r="H5" s="6" t="s">
        <v>44</v>
      </c>
      <c r="I5" s="3">
        <v>10800</v>
      </c>
    </row>
    <row r="6" spans="2:9" x14ac:dyDescent="0.3">
      <c r="B6" s="6" t="s">
        <v>9</v>
      </c>
      <c r="C6" s="3">
        <v>9630</v>
      </c>
      <c r="H6" s="6" t="s">
        <v>45</v>
      </c>
      <c r="I6" s="3">
        <v>11440</v>
      </c>
    </row>
    <row r="7" spans="2:9" x14ac:dyDescent="0.3">
      <c r="B7" s="6" t="s">
        <v>22</v>
      </c>
      <c r="C7" s="3">
        <v>8980</v>
      </c>
      <c r="H7" s="6" t="s">
        <v>46</v>
      </c>
      <c r="I7" s="3">
        <v>12020</v>
      </c>
    </row>
    <row r="8" spans="2:9" x14ac:dyDescent="0.3">
      <c r="B8" s="6" t="s">
        <v>13</v>
      </c>
      <c r="C8" s="3">
        <v>3890</v>
      </c>
      <c r="H8" s="6" t="s">
        <v>47</v>
      </c>
      <c r="I8" s="3">
        <v>12610</v>
      </c>
    </row>
    <row r="9" spans="2:9" x14ac:dyDescent="0.3">
      <c r="B9" s="6" t="s">
        <v>40</v>
      </c>
      <c r="C9" s="3">
        <v>57350</v>
      </c>
      <c r="H9" s="6" t="s">
        <v>40</v>
      </c>
      <c r="I9" s="3">
        <v>57350</v>
      </c>
    </row>
    <row r="25" spans="4:7" x14ac:dyDescent="0.3">
      <c r="D25" t="s">
        <v>1</v>
      </c>
      <c r="E25" t="s">
        <v>48</v>
      </c>
      <c r="F25" t="s">
        <v>49</v>
      </c>
      <c r="G25" t="s">
        <v>50</v>
      </c>
    </row>
    <row r="26" spans="4:7" x14ac:dyDescent="0.3">
      <c r="D26" t="s">
        <v>9</v>
      </c>
      <c r="E26">
        <v>5000</v>
      </c>
      <c r="F26">
        <f>SUMIFS(FinanceData[Amount], FinanceData[Category], D26, FinanceData[Type], "Expense")</f>
        <v>9630</v>
      </c>
      <c r="G26" t="str">
        <f t="shared" ref="G26:G30" si="0">IF(F26 &gt; E26, "⚠ Over Budget", "OK")</f>
        <v>⚠ Over Budget</v>
      </c>
    </row>
    <row r="27" spans="4:7" x14ac:dyDescent="0.3">
      <c r="D27" t="s">
        <v>13</v>
      </c>
      <c r="E27">
        <v>3000</v>
      </c>
      <c r="F27">
        <f>SUMIFS(FinanceData[Amount], FinanceData[Category], D27, FinanceData[Type], "Expense")</f>
        <v>3890</v>
      </c>
      <c r="G27" t="str">
        <f t="shared" si="0"/>
        <v>⚠ Over Budget</v>
      </c>
    </row>
    <row r="28" spans="4:7" x14ac:dyDescent="0.3">
      <c r="D28" t="s">
        <v>16</v>
      </c>
      <c r="E28">
        <v>4000</v>
      </c>
      <c r="F28">
        <f>SUMIFS(FinanceData[Amount], FinanceData[Category], D28, FinanceData[Type], "Expense")</f>
        <v>20650</v>
      </c>
      <c r="G28" t="str">
        <f t="shared" si="0"/>
        <v>⚠ Over Budget</v>
      </c>
    </row>
    <row r="29" spans="4:7" x14ac:dyDescent="0.3">
      <c r="D29" t="s">
        <v>19</v>
      </c>
      <c r="E29">
        <v>3500</v>
      </c>
      <c r="F29">
        <f>SUMIFS(FinanceData[Amount], FinanceData[Category], D29, FinanceData[Type], "Expense")</f>
        <v>14200</v>
      </c>
      <c r="G29" t="str">
        <f t="shared" si="0"/>
        <v>⚠ Over Budget</v>
      </c>
    </row>
    <row r="30" spans="4:7" x14ac:dyDescent="0.3">
      <c r="D30" t="s">
        <v>22</v>
      </c>
      <c r="E30">
        <v>2500</v>
      </c>
      <c r="F30">
        <f>SUMIFS(FinanceData[Amount], FinanceData[Category], D30, FinanceData[Type], "Expense")</f>
        <v>8980</v>
      </c>
      <c r="G30" t="str">
        <f t="shared" si="0"/>
        <v>⚠ Over Budget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bele</dc:creator>
  <cp:lastModifiedBy>vaishnavi bele</cp:lastModifiedBy>
  <dcterms:created xsi:type="dcterms:W3CDTF">2026-04-19T09:04:56Z</dcterms:created>
  <dcterms:modified xsi:type="dcterms:W3CDTF">2026-04-19T11:20:10Z</dcterms:modified>
</cp:coreProperties>
</file>